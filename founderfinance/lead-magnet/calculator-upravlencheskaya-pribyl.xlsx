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лькулятор" sheetId="1" state="visible" r:id="rId1"/>
    <sheet xmlns:r="http://schemas.openxmlformats.org/officeDocument/2006/relationships" name="Как пользоваться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€&quot;"/>
  </numFmts>
  <fonts count="13">
    <font>
      <name val="Calibri"/>
      <family val="2"/>
      <color theme="1"/>
      <sz val="11"/>
      <scheme val="minor"/>
    </font>
    <font>
      <name val="Georgia"/>
      <b val="1"/>
      <color rgb="002A2520"/>
      <sz val="20"/>
    </font>
    <font>
      <name val="Calibri"/>
      <i val="1"/>
      <color rgb="007A6F5C"/>
      <sz val="11"/>
    </font>
    <font>
      <name val="Calibri"/>
      <color rgb="009A875C"/>
      <sz val="10"/>
    </font>
    <font>
      <name val="Calibri"/>
      <b val="1"/>
      <color rgb="00131210"/>
      <sz val="11"/>
    </font>
    <font>
      <name val="Calibri"/>
      <color rgb="002A2520"/>
      <sz val="11"/>
    </font>
    <font>
      <name val="Calibri"/>
      <b val="1"/>
      <color rgb="002A2520"/>
      <sz val="11"/>
    </font>
    <font>
      <name val="Calibri"/>
      <b val="1"/>
      <color rgb="007A5C12"/>
      <sz val="12"/>
    </font>
    <font>
      <name val="Calibri"/>
      <color rgb="006E6353"/>
      <sz val="10"/>
    </font>
    <font>
      <name val="Georgia"/>
      <b val="1"/>
      <color rgb="002A2520"/>
      <sz val="14"/>
    </font>
    <font>
      <name val="Georgia"/>
      <b val="1"/>
      <color rgb="002A2520"/>
      <sz val="18"/>
    </font>
    <font>
      <name val="Georgia"/>
      <b val="1"/>
      <color rgb="007A5C12"/>
      <sz val="13"/>
    </font>
    <font>
      <name val="Calibri"/>
      <b val="1"/>
      <color rgb="007A5C12"/>
      <sz val="11"/>
    </font>
  </fonts>
  <fills count="6">
    <fill>
      <patternFill/>
    </fill>
    <fill>
      <patternFill patternType="gray125"/>
    </fill>
    <fill>
      <patternFill patternType="solid">
        <fgColor rgb="00F4ECD8"/>
      </patternFill>
    </fill>
    <fill>
      <patternFill patternType="solid">
        <fgColor rgb="00FFF7DD"/>
      </patternFill>
    </fill>
    <fill>
      <patternFill patternType="solid">
        <fgColor rgb="00FAF6EC"/>
      </patternFill>
    </fill>
    <fill>
      <patternFill patternType="solid">
        <fgColor rgb="00EFE0BB"/>
      </patternFill>
    </fill>
  </fills>
  <borders count="5">
    <border>
      <left/>
      <right/>
      <top/>
      <bottom/>
      <diagonal/>
    </border>
    <border>
      <left style="thin">
        <color rgb="00D9CFBC"/>
      </left>
      <right style="thin">
        <color rgb="00D9CFBC"/>
      </right>
      <top style="thin">
        <color rgb="00D9CFBC"/>
      </top>
      <bottom style="thin">
        <color rgb="00D9CFBC"/>
      </bottom>
    </border>
    <border>
      <left/>
      <right/>
      <top style="thin">
        <color rgb="00D9CFBC"/>
      </top>
      <bottom/>
      <diagonal/>
    </border>
    <border>
      <left/>
      <right style="thin">
        <color rgb="00D9CFBC"/>
      </right>
      <top style="thin">
        <color rgb="00D9CFBC"/>
      </top>
      <bottom/>
      <diagonal/>
    </border>
    <border>
      <left/>
      <right style="thin">
        <color rgb="00D9CFBC"/>
      </right>
      <top style="thin">
        <color rgb="00D9CFBC"/>
      </top>
      <bottom style="thin">
        <color rgb="00D9CFBC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center" indent="1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0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right" vertical="center"/>
    </xf>
    <xf numFmtId="9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1" applyAlignment="1" pivotButton="0" quotePrefix="0" xfId="0">
      <alignment horizontal="left" vertical="center" indent="1"/>
    </xf>
    <xf numFmtId="164" fontId="5" fillId="0" borderId="1" applyAlignment="1" pivotButton="0" quotePrefix="0" xfId="0">
      <alignment horizontal="right" vertical="center"/>
    </xf>
    <xf numFmtId="9" fontId="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indent="2"/>
    </xf>
    <xf numFmtId="164" fontId="5" fillId="3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indent="1"/>
    </xf>
    <xf numFmtId="164" fontId="6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right" vertical="center"/>
    </xf>
    <xf numFmtId="9" fontId="5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8" fillId="4" borderId="1" applyAlignment="1" pivotButton="0" quotePrefix="0" xfId="0">
      <alignment horizontal="left" vertical="top" wrapText="1"/>
    </xf>
    <xf numFmtId="0" fontId="0" fillId="4" borderId="1" pivotButton="0" quotePrefix="0" xfId="0"/>
    <xf numFmtId="0" fontId="9" fillId="0" borderId="0" pivotButton="0" quotePrefix="0" xfId="0"/>
    <xf numFmtId="9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7" fillId="5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4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8" customWidth="1" min="4" max="4"/>
    <col width="18" customWidth="1" min="5" max="5"/>
  </cols>
  <sheetData>
    <row r="2" ht="30" customHeight="1">
      <c r="B2" s="1" t="inlineStr">
        <is>
          <t>Калькулятор управленческой прибыли</t>
        </is>
      </c>
    </row>
    <row r="3">
      <c r="B3" s="2" t="inlineStr">
        <is>
          <t>Founder Finance · управленческий учет на русском для бизнеса в Европе</t>
        </is>
      </c>
    </row>
    <row r="4">
      <c r="B4" s="3" t="inlineStr">
        <is>
          <t>Заполняйте только желтые ячейки. Остальное считается само. Цифры в примере условные, замените на свои.</t>
        </is>
      </c>
    </row>
    <row r="6">
      <c r="B6" s="4" t="inlineStr">
        <is>
          <t>Показатель за месяц</t>
        </is>
      </c>
      <c r="C6" s="5" t="inlineStr">
        <is>
          <t>Сумма</t>
        </is>
      </c>
      <c r="D6" s="5" t="inlineStr">
        <is>
          <t>% от выручки</t>
        </is>
      </c>
      <c r="E6" s="6" t="n"/>
    </row>
    <row r="7">
      <c r="B7" s="7" t="inlineStr">
        <is>
          <t>Выручка</t>
        </is>
      </c>
      <c r="C7" s="8" t="n">
        <v>1000000</v>
      </c>
      <c r="D7" s="9">
        <f>IF($C$7=0,0,C7/$C$7)</f>
        <v/>
      </c>
      <c r="E7" s="10" t="n"/>
    </row>
    <row r="8">
      <c r="B8" s="11" t="inlineStr">
        <is>
          <t>Переменные (производственные) расходы</t>
        </is>
      </c>
      <c r="C8" s="12" t="n"/>
      <c r="D8" s="13" t="n"/>
      <c r="E8" s="10" t="n"/>
    </row>
    <row r="9">
      <c r="B9" s="14" t="inlineStr">
        <is>
          <t>Себестоимость товара или услуги</t>
        </is>
      </c>
      <c r="C9" s="15" t="n">
        <v>420000</v>
      </c>
      <c r="D9" s="9">
        <f>IF($C$7=0,0,C9/$C$7)</f>
        <v/>
      </c>
      <c r="E9" s="10" t="n"/>
    </row>
    <row r="10">
      <c r="B10" s="14" t="inlineStr">
        <is>
          <t>Логистика и доставка</t>
        </is>
      </c>
      <c r="C10" s="15" t="n">
        <v>60000</v>
      </c>
      <c r="D10" s="9">
        <f>IF($C$7=0,0,C10/$C$7)</f>
        <v/>
      </c>
      <c r="E10" s="10" t="n"/>
    </row>
    <row r="11">
      <c r="B11" s="14" t="inlineStr">
        <is>
          <t>Прочие переменные расходы</t>
        </is>
      </c>
      <c r="C11" s="15" t="n">
        <v>30000</v>
      </c>
      <c r="D11" s="9">
        <f>IF($C$7=0,0,C11/$C$7)</f>
        <v/>
      </c>
      <c r="E11" s="10" t="n"/>
    </row>
    <row r="12">
      <c r="B12" s="16">
        <f> Маржинальный доход</f>
        <v/>
      </c>
      <c r="C12" s="17">
        <f>C7-C9-C10-C11</f>
        <v/>
      </c>
      <c r="D12" s="9">
        <f>IF($C$7=0,0,C12/$C$7)</f>
        <v/>
      </c>
      <c r="E12" s="10" t="n"/>
    </row>
    <row r="13">
      <c r="B13" s="7" t="inlineStr">
        <is>
          <t>Прямые расходы направления (брак, хранение, склад)</t>
        </is>
      </c>
      <c r="C13" s="15" t="n">
        <v>40000</v>
      </c>
      <c r="D13" s="9">
        <f>IF($C$7=0,0,C13/$C$7)</f>
        <v/>
      </c>
      <c r="E13" s="10" t="n"/>
    </row>
    <row r="14">
      <c r="B14" s="16">
        <f> Валовая прибыль</f>
        <v/>
      </c>
      <c r="C14" s="17">
        <f>C12-C13</f>
        <v/>
      </c>
      <c r="D14" s="9">
        <f>IF($C$7=0,0,C14/$C$7)</f>
        <v/>
      </c>
      <c r="E14" s="10" t="n"/>
    </row>
    <row r="15">
      <c r="B15" s="11" t="inlineStr">
        <is>
          <t>Косвенные расходы</t>
        </is>
      </c>
      <c r="C15" s="12" t="n"/>
      <c r="D15" s="13" t="n"/>
      <c r="E15" s="10" t="n"/>
    </row>
    <row r="16">
      <c r="B16" s="14" t="inlineStr">
        <is>
          <t>Административные (офис, аренда, ПО, бэк-офис, ваша зарплата)</t>
        </is>
      </c>
      <c r="C16" s="15" t="n">
        <v>180000</v>
      </c>
      <c r="D16" s="9">
        <f>IF($C$7=0,0,C16/$C$7)</f>
        <v/>
      </c>
      <c r="E16" s="10" t="n"/>
    </row>
    <row r="17">
      <c r="B17" s="14" t="inlineStr">
        <is>
          <t>Коммерческие (маркетинг, реклама, отдел продаж)</t>
        </is>
      </c>
      <c r="C17" s="15" t="n">
        <v>150000</v>
      </c>
      <c r="D17" s="9">
        <f>IF($C$7=0,0,C17/$C$7)</f>
        <v/>
      </c>
      <c r="E17" s="10" t="n"/>
    </row>
    <row r="18">
      <c r="B18" s="16">
        <f> Операционная прибыль</f>
        <v/>
      </c>
      <c r="C18" s="17">
        <f>C14-C16-C17</f>
        <v/>
      </c>
      <c r="D18" s="9">
        <f>IF($C$7=0,0,C18/$C$7)</f>
        <v/>
      </c>
      <c r="E18" s="10" t="n"/>
    </row>
    <row r="19">
      <c r="B19" s="7" t="inlineStr">
        <is>
          <t>Налоги, проценты по кредитам, курсовые и прочее</t>
        </is>
      </c>
      <c r="C19" s="15" t="n">
        <v>45000</v>
      </c>
      <c r="D19" s="9">
        <f>IF($C$7=0,0,C19/$C$7)</f>
        <v/>
      </c>
      <c r="E19" s="10" t="n"/>
    </row>
    <row r="20">
      <c r="B20" s="18">
        <f> ЧИСТАЯ ПРИБЫЛЬ</f>
        <v/>
      </c>
      <c r="C20" s="19">
        <f>C18-C19</f>
        <v/>
      </c>
      <c r="D20" s="20">
        <f>IF($C$7=0,0,C20/$C$7)</f>
        <v/>
      </c>
      <c r="E20" s="21" t="n"/>
    </row>
    <row r="22">
      <c r="B22" s="22" t="inlineStr">
        <is>
          <t>Это и есть ваша реальная прибыль за месяц, а не выручка и не остаток на счете.
Маржинальный доход 49%, а чистая прибыль 7,5%: между ними утекает почти все. Управленческий учет показывает, в какой именно строке и сколько вы теряете, и на какой рычаг нажать.</t>
        </is>
      </c>
      <c r="C22" s="23" t="n"/>
      <c r="D22" s="23" t="n"/>
      <c r="E22" s="23" t="n"/>
    </row>
    <row r="23"/>
    <row r="24"/>
    <row r="25"/>
    <row r="27">
      <c r="B27" s="24" t="inlineStr">
        <is>
          <t>Три сценария на следующий месяц</t>
        </is>
      </c>
    </row>
    <row r="28">
      <c r="B28" s="3" t="inlineStr">
        <is>
          <t>Меняйте только строку «изменение выручки». Постоянные расходы остаются на месте, поэтому прибыль реагирует сильнее.</t>
        </is>
      </c>
    </row>
    <row r="30">
      <c r="B30" s="4" t="inlineStr">
        <is>
          <t>Сценарий</t>
        </is>
      </c>
      <c r="C30" s="5" t="inlineStr">
        <is>
          <t>Пессимистичный</t>
        </is>
      </c>
      <c r="D30" s="5" t="inlineStr">
        <is>
          <t>Базовый</t>
        </is>
      </c>
      <c r="E30" s="5" t="inlineStr">
        <is>
          <t>Оптимистичный</t>
        </is>
      </c>
    </row>
    <row r="31">
      <c r="B31" s="7" t="inlineStr">
        <is>
          <t>Изменение выручки</t>
        </is>
      </c>
      <c r="C31" s="25" t="n">
        <v>-0.15</v>
      </c>
      <c r="D31" s="25" t="n">
        <v>0</v>
      </c>
      <c r="E31" s="25" t="n">
        <v>0.2</v>
      </c>
    </row>
    <row r="32">
      <c r="B32" s="7" t="inlineStr">
        <is>
          <t>Выручка</t>
        </is>
      </c>
      <c r="C32" s="12">
        <f>$C$7*(1+C31)</f>
        <v/>
      </c>
      <c r="D32" s="12">
        <f>$C$7*(1+D31)</f>
        <v/>
      </c>
      <c r="E32" s="12">
        <f>$C$7*(1+E31)</f>
        <v/>
      </c>
    </row>
    <row r="33">
      <c r="B33" s="7" t="inlineStr">
        <is>
          <t>Переменные расходы</t>
        </is>
      </c>
      <c r="C33" s="12">
        <f>-IF($C$7=0,0,($C$9+$C$10+$C$11)/$C$7)*C32</f>
        <v/>
      </c>
      <c r="D33" s="12">
        <f>-IF($C$7=0,0,($C$9+$C$10+$C$11)/$C$7)*D32</f>
        <v/>
      </c>
      <c r="E33" s="12">
        <f>-IF($C$7=0,0,($C$9+$C$10+$C$11)/$C$7)*E32</f>
        <v/>
      </c>
    </row>
    <row r="34">
      <c r="B34" s="7" t="inlineStr">
        <is>
          <t>Постоянные расходы</t>
        </is>
      </c>
      <c r="C34" s="12">
        <f>-($C$13+$C$16+$C$17)</f>
        <v/>
      </c>
      <c r="D34" s="12">
        <f>-($C$13+$C$16+$C$17)</f>
        <v/>
      </c>
      <c r="E34" s="12">
        <f>-($C$13+$C$16+$C$17)</f>
        <v/>
      </c>
    </row>
    <row r="35">
      <c r="B35" s="7" t="inlineStr">
        <is>
          <t>Налоги, проценты, прочее</t>
        </is>
      </c>
      <c r="C35" s="12">
        <f>-$C$19</f>
        <v/>
      </c>
      <c r="D35" s="12">
        <f>-$C$19</f>
        <v/>
      </c>
      <c r="E35" s="12">
        <f>-$C$19</f>
        <v/>
      </c>
    </row>
    <row r="36">
      <c r="B36" s="26" t="inlineStr">
        <is>
          <t>Чистая прибыль</t>
        </is>
      </c>
      <c r="C36" s="27">
        <f>C32+C33+C34+C35</f>
        <v/>
      </c>
      <c r="D36" s="27">
        <f>D32+D33+D34+D35</f>
        <v/>
      </c>
      <c r="E36" s="27">
        <f>E32+E33+E34+E35</f>
        <v/>
      </c>
    </row>
    <row r="38">
      <c r="B38" s="22" t="inlineStr">
        <is>
          <t>Обратите внимание: при падении выручки на 15% чистая прибыль почти обнуляется, а при росте на 20% более чем удваивается. Это операционный рычаг. Когда вы видите его заранее в цифрах, вы принимаете решения о найме, рекламе и ценах осознанно, а не вслепую.</t>
        </is>
      </c>
      <c r="C38" s="23" t="n"/>
      <c r="D38" s="23" t="n"/>
      <c r="E38" s="23" t="n"/>
    </row>
    <row r="39"/>
    <row r="40"/>
    <row r="41"/>
  </sheetData>
  <mergeCells count="22">
    <mergeCell ref="D20:E20"/>
    <mergeCell ref="B22:E25"/>
    <mergeCell ref="D10:E10"/>
    <mergeCell ref="D19:E19"/>
    <mergeCell ref="D6:E6"/>
    <mergeCell ref="B4:E4"/>
    <mergeCell ref="D11:E11"/>
    <mergeCell ref="D13:E13"/>
    <mergeCell ref="B3:E3"/>
    <mergeCell ref="B38:E41"/>
    <mergeCell ref="D17:E17"/>
    <mergeCell ref="D16:E16"/>
    <mergeCell ref="B27:E27"/>
    <mergeCell ref="D7:E7"/>
    <mergeCell ref="B2:E2"/>
    <mergeCell ref="D18:E18"/>
    <mergeCell ref="D9:E9"/>
    <mergeCell ref="D12:E12"/>
    <mergeCell ref="D8:E8"/>
    <mergeCell ref="D15:E15"/>
    <mergeCell ref="D14:E14"/>
    <mergeCell ref="B28:E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2">
      <c r="B2" s="28" t="inlineStr">
        <is>
          <t>Калькулятор управленческой прибыли</t>
        </is>
      </c>
    </row>
    <row r="3">
      <c r="B3" s="29" t="inlineStr">
        <is>
          <t>Founder Finance · управленческий учет на русском для бизнеса в Европе</t>
        </is>
      </c>
    </row>
    <row r="5">
      <c r="B5" s="30" t="inlineStr">
        <is>
          <t>Зачем это вам</t>
        </is>
      </c>
    </row>
    <row r="6" ht="58" customHeight="1">
      <c r="B6" s="31" t="inlineStr">
        <is>
          <t>Многие собственники путают три разные вещи: выручку, деньги на счете и прибыль. Из-за этого оборот идет, а денег больше не становится, и непонятно почему. Калькулятор за десять минут показывает вашу реальную чистую прибыль и то, где именно она утекает.</t>
        </is>
      </c>
    </row>
    <row r="8">
      <c r="B8" s="30" t="inlineStr">
        <is>
          <t>Как пользоваться</t>
        </is>
      </c>
    </row>
    <row r="9">
      <c r="B9" s="31" t="inlineStr">
        <is>
          <t>1. Откройте лист «Калькулятор».</t>
        </is>
      </c>
    </row>
    <row r="10">
      <c r="B10" s="31" t="inlineStr">
        <is>
          <t>2. Замените цифры в желтых ячейках на свои за один месяц. Берите любой месяц, по которому есть данные.</t>
        </is>
      </c>
    </row>
    <row r="11">
      <c r="B11" s="31" t="inlineStr">
        <is>
          <t>3. Серые строки со знаком «=» посчитаются сами. Смотрите на нижнюю строку: чистая прибыль.</t>
        </is>
      </c>
    </row>
    <row r="12">
      <c r="B12" s="31" t="inlineStr">
        <is>
          <t>4. В блоке «Три сценария» меняйте «изменение выручки» и смотрите, как реагирует прибыль.</t>
        </is>
      </c>
    </row>
    <row r="14">
      <c r="B14" s="30" t="inlineStr">
        <is>
          <t>Что означают строки</t>
        </is>
      </c>
    </row>
    <row r="15" ht="42" customHeight="1">
      <c r="B15" s="31" t="inlineStr">
        <is>
          <t>Маржинальный доход: что остается после переменных расходов, которые растут вместе с продажами. Потолок, из которого живет вся компания.</t>
        </is>
      </c>
    </row>
    <row r="16" ht="42" customHeight="1">
      <c r="B16" s="31" t="inlineStr">
        <is>
          <t>Операционная прибыль: сколько приносит сам бизнес после офиса, аренды, маркетинга и продаж. Главный показатель здоровья модели.</t>
        </is>
      </c>
    </row>
    <row r="17" ht="28" customHeight="1">
      <c r="B17" s="31" t="inlineStr">
        <is>
          <t>Чистая прибыль: то, что реально остается у вас после налогов и кредитов. Из нее вы решаете, сколько можете забрать себе.</t>
        </is>
      </c>
    </row>
    <row r="19">
      <c r="B19" s="30" t="inlineStr">
        <is>
          <t>Где это перестает работать</t>
        </is>
      </c>
    </row>
    <row r="20" ht="58" customHeight="1">
      <c r="B20" s="31" t="inlineStr">
        <is>
          <t>Калькулятор показывает картину за один месяц по памяти. В живом бизнесе цифры размазаны по банкам, инвойсам и кошелькам, местный бухгалтер ведет только отчетность в налоговую, а юнит-экономика и дивиденды нигде не сведены. Чтобы видеть прибыль каждый месяц и принимать решения, нужен поставленный управленческий учет на ваших данных.</t>
        </is>
      </c>
    </row>
    <row r="22">
      <c r="B22" s="30" t="inlineStr">
        <is>
          <t>Хотите заполнить это своими реальными цифрами</t>
        </is>
      </c>
    </row>
    <row r="23" ht="42" customHeight="1">
      <c r="B23" s="31" t="inlineStr">
        <is>
          <t>Бесплатная финансовая диагностика: за 30-45 минут разберем ваши цифры по этой структуре, покажем реальную прибыль, юнит-экономику и сколько вы можете забирать себе. Уйдете с дорожной картой, даже если дальше не работаем.</t>
        </is>
      </c>
    </row>
    <row r="24">
      <c r="B24" s="32" t="inlineStr">
        <is>
          <t>Написать: Telegram @Sychinnikov</t>
        </is>
      </c>
    </row>
    <row r="26" ht="42" customHeight="1">
      <c r="B26" s="33" t="inlineStr">
        <is>
          <t>Управленческий учет на русском для бизнеса в Европе. Методология «Нескучных финансов», команда финансовых директоров с опытом 7+ лет в «Нескучных». Оплата в евро на европейский счет.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2026-06-30T19:31:06Z</dcterms:created>
  <dcterms:modified xmlns:dcterms="http://purl.org/dc/terms/" xmlns:xsi="http://www.w3.org/2001/XMLSchema-instance" xsi:type="dcterms:W3CDTF">2026-06-30T19:31:06Z</dcterms:modified>
</cp:coreProperties>
</file>