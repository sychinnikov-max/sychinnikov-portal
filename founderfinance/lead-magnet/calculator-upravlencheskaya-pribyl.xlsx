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чните здесь" sheetId="1" state="visible" r:id="rId1"/>
    <sheet name="Калькулятор" sheetId="2" state="visible" r:id="rId2"/>
    <sheet name="Что означают циф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;[Red]-#,##0&quot; €&quot;"/>
  </numFmts>
  <fonts count="15">
    <font>
      <name val="Calibri"/>
      <family val="2"/>
      <color theme="1"/>
      <sz val="11"/>
      <scheme val="minor"/>
    </font>
    <font>
      <name val="Georgia"/>
      <b val="1"/>
      <color rgb="002A2520"/>
      <sz val="20"/>
    </font>
    <font>
      <name val="Calibri"/>
      <i val="1"/>
      <color rgb="007A6F5C"/>
      <sz val="11"/>
    </font>
    <font>
      <name val="Calibri"/>
      <b val="1"/>
      <color rgb="007A5C12"/>
      <sz val="11"/>
    </font>
    <font>
      <name val="Georgia"/>
      <b val="1"/>
      <color rgb="002A2520"/>
      <sz val="14"/>
    </font>
    <font>
      <name val="Calibri"/>
      <color rgb="002A2520"/>
      <sz val="11"/>
    </font>
    <font>
      <name val="Georgia"/>
      <b val="1"/>
      <color rgb="007A5C12"/>
      <sz val="12"/>
    </font>
    <font>
      <name val="Calibri"/>
      <color rgb="009A875C"/>
      <sz val="10"/>
    </font>
    <font>
      <name val="Calibri"/>
      <b val="1"/>
      <color rgb="00131210"/>
      <sz val="11"/>
    </font>
    <font>
      <name val="Calibri"/>
      <color rgb="006E6353"/>
      <sz val="10"/>
    </font>
    <font>
      <name val="Calibri"/>
      <color rgb="006E6353"/>
      <sz val="9"/>
    </font>
    <font>
      <name val="Calibri"/>
      <b val="1"/>
      <color rgb="002A2520"/>
      <sz val="11"/>
    </font>
    <font>
      <name val="Calibri"/>
      <b val="1"/>
      <color rgb="007A5C12"/>
      <sz val="13"/>
    </font>
    <font>
      <name val="Calibri"/>
      <b val="1"/>
      <color rgb="001F5C8B"/>
      <sz val="12"/>
      <u val="single"/>
    </font>
    <font>
      <name val="Calibri"/>
      <color rgb="009A875C"/>
      <sz val="9"/>
    </font>
  </fonts>
  <fills count="6">
    <fill>
      <patternFill/>
    </fill>
    <fill>
      <patternFill patternType="gray125"/>
    </fill>
    <fill>
      <patternFill patternType="solid">
        <fgColor rgb="00F4ECD8"/>
      </patternFill>
    </fill>
    <fill>
      <patternFill patternType="solid">
        <fgColor rgb="00FAF6EC"/>
      </patternFill>
    </fill>
    <fill>
      <patternFill patternType="solid">
        <fgColor rgb="00FFF7DD"/>
      </patternFill>
    </fill>
    <fill>
      <patternFill patternType="solid">
        <fgColor rgb="00EFE0BB"/>
      </patternFill>
    </fill>
  </fills>
  <borders count="2">
    <border>
      <left/>
      <right/>
      <top/>
      <bottom/>
      <diagonal/>
    </border>
    <border>
      <left style="thin">
        <color rgb="00D9CFBC"/>
      </left>
      <right style="thin">
        <color rgb="00D9CFBC"/>
      </right>
      <top style="thin">
        <color rgb="00D9CFBC"/>
      </top>
      <bottom style="thin">
        <color rgb="00D9CFB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/>
    </xf>
    <xf numFmtId="0" fontId="5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1" fillId="0" borderId="0" applyAlignment="1" pivotButton="0" quotePrefix="0" xfId="0">
      <alignment vertical="center"/>
    </xf>
    <xf numFmtId="0" fontId="7" fillId="0" borderId="0" pivotButton="0" quotePrefix="0" xfId="0"/>
    <xf numFmtId="0" fontId="8" fillId="2" borderId="1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9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indent="3"/>
    </xf>
    <xf numFmtId="0" fontId="11" fillId="5" borderId="1" applyAlignment="1" pivotButton="0" quotePrefix="0" xfId="0">
      <alignment horizontal="left" vertical="center" indent="1"/>
    </xf>
    <xf numFmtId="164" fontId="11" fillId="5" borderId="1" applyAlignment="1" pivotButton="0" quotePrefix="0" xfId="0">
      <alignment horizontal="right" vertical="center"/>
    </xf>
    <xf numFmtId="9" fontId="11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indent="1"/>
    </xf>
    <xf numFmtId="164" fontId="12" fillId="5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1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3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.me/Sychinnikov_finance_bot?start=calc_review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.me/Sychinnikov_finance_bot?start=calc_re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00" customWidth="1" min="3" max="3"/>
  </cols>
  <sheetData>
    <row r="2" ht="30" customHeight="1">
      <c r="B2" s="1" t="inlineStr">
        <is>
          <t>Калькулятор чистой прибыли</t>
        </is>
      </c>
    </row>
    <row r="3">
      <c r="B3" s="2" t="inlineStr">
        <is>
          <t>Founder Finance · финансовая картина для собственника</t>
        </is>
      </c>
    </row>
    <row r="4" ht="32" customHeight="1">
      <c r="B4" s="3" t="inlineStr">
        <is>
          <t>Сначала сделайте копию файла себе. Оригинал открыт только на просмотр, чтобы у каждого была чистая версия. Как скопировать, написано внизу этой страницы.</t>
        </is>
      </c>
      <c r="C4" s="4" t="n"/>
    </row>
    <row r="5" ht="24" customHeight="1">
      <c r="C5" s="5" t="inlineStr">
        <is>
          <t>Прочитайте эту страницу. Дальше все просто.</t>
        </is>
      </c>
    </row>
    <row r="6" ht="48" customHeight="1">
      <c r="C6" s="6" t="inlineStr">
        <is>
          <t>Заполнение занимает 10 минут. Считать ничего не нужно, формулы уже стоят. Вы вписываете цифры своего бизнеса за один месяц, файл сам показывает, сколько вы заработали на самом деле и в какой строке теряете деньги.</t>
        </is>
      </c>
    </row>
    <row r="8" ht="22" customHeight="1">
      <c r="C8" s="7" t="inlineStr">
        <is>
          <t>Зачем это вам</t>
        </is>
      </c>
    </row>
    <row r="9" ht="18" customHeight="1">
      <c r="C9" s="6" t="inlineStr">
        <is>
          <t>Три вещи, которые постоянно путают: выручка, деньги на счете и прибыль.</t>
        </is>
      </c>
    </row>
    <row r="10" ht="48" customHeight="1">
      <c r="C10" s="6" t="inlineStr">
        <is>
          <t>Выручка это сколько вам заплатили. Деньги на счете это сколько лежит прямо сейчас, включая чужие деньги: авансы клиентов, налоги, которые еще предстоит отдать. Прибыль это то, что осталось вам после всех расходов, включая вашу собственную зарплату.</t>
        </is>
      </c>
    </row>
    <row r="11" ht="32" customHeight="1">
      <c r="C11" s="6" t="inlineStr">
        <is>
          <t>Оборот может расти, а прибыль падать. Пока вы не видите эти три цифры отдельно, бизнес управляется на ощупь.</t>
        </is>
      </c>
    </row>
    <row r="13" ht="22" customHeight="1">
      <c r="C13" s="7" t="inlineStr">
        <is>
          <t>Что понадобится</t>
        </is>
      </c>
    </row>
    <row r="14" ht="18" customHeight="1">
      <c r="C14" s="6" t="inlineStr">
        <is>
          <t>Один любой месяц, по которому у вас есть данные. Лучше обычный месяц, не пиковый и не провальный.</t>
        </is>
      </c>
    </row>
    <row r="15" ht="32" customHeight="1">
      <c r="C15" s="6" t="inlineStr">
        <is>
          <t>Выписка по счету за этот месяц или ваша таблица расходов. Точность до сотни евро достаточна: цель увидеть картину, а не сойтись с бухгалтерией до цента.</t>
        </is>
      </c>
    </row>
    <row r="17" ht="22" customHeight="1">
      <c r="C17" s="7" t="inlineStr">
        <is>
          <t>Как заполнять</t>
        </is>
      </c>
    </row>
    <row r="18" ht="18" customHeight="1">
      <c r="B18" s="8" t="n">
        <v>1</v>
      </c>
      <c r="C18" s="6" t="inlineStr">
        <is>
          <t>Откройте лист «Калькулятор» внизу окна.</t>
        </is>
      </c>
    </row>
    <row r="19" ht="18" customHeight="1">
      <c r="B19" s="8" t="n">
        <v>2</v>
      </c>
      <c r="C19" s="6" t="inlineStr">
        <is>
          <t>Впишите свои цифры вместо примера в желтые ячейки. Все остальное посчитается само.</t>
        </is>
      </c>
    </row>
    <row r="20" ht="18" customHeight="1">
      <c r="B20" s="8" t="n">
        <v>3</v>
      </c>
      <c r="C20" s="6" t="inlineStr">
        <is>
          <t>Не знаете точную сумму по строке, поставьте примерную. Пустая строка это ноль, ее можно пропустить.</t>
        </is>
      </c>
    </row>
    <row r="21" ht="18" customHeight="1">
      <c r="B21" s="8" t="n">
        <v>4</v>
      </c>
      <c r="C21" s="6" t="inlineStr">
        <is>
          <t>Справа от каждой строки написано, что в нее входит и откуда взять цифру. Читайте эту колонку, она главная.</t>
        </is>
      </c>
    </row>
    <row r="22" ht="18" customHeight="1">
      <c r="B22" s="8" t="n">
        <v>5</v>
      </c>
      <c r="C22" s="6" t="inlineStr">
        <is>
          <t>Смотрите на три жирные строки: маржинальный доход, операционная прибыль, чистая прибыль.</t>
        </is>
      </c>
    </row>
    <row r="23" ht="18" customHeight="1">
      <c r="B23" s="8" t="n">
        <v>6</v>
      </c>
      <c r="C23" s="6" t="inlineStr">
        <is>
          <t>Не поняли, что означает цифра, откройте лист «Что означают цифры».</t>
        </is>
      </c>
    </row>
    <row r="25" ht="22" customHeight="1">
      <c r="C25" s="7" t="inlineStr">
        <is>
          <t>Одно правило, без которого файл соврет</t>
        </is>
      </c>
    </row>
    <row r="26" ht="48" customHeight="1">
      <c r="C26" s="6" t="inlineStr">
        <is>
          <t>Впишите себе зарплату. Строка «зарплата собственника за работу в бизнесе» это не вывод прибыли, а расход компании. Если вы работаете в своем бизнесе руками, поставьте туда сумму, которую пришлось бы платить наемному человеку на вашем месте.</t>
        </is>
      </c>
    </row>
    <row r="27" ht="48" customHeight="1">
      <c r="C27" s="6" t="inlineStr">
        <is>
          <t>Почему это важно: без этой строки бизнес выглядит прибыльным, хотя на самом деле он живет за счет вашего бесплатного труда. Многие компании держатся только на этом и рассыпаются, как только собственник отходит от дел.</t>
        </is>
      </c>
    </row>
    <row r="29" ht="22" customHeight="1">
      <c r="C29" s="7" t="inlineStr">
        <is>
          <t>Чего этот файл не делает</t>
        </is>
      </c>
    </row>
    <row r="30" ht="64" customHeight="1">
      <c r="C30" s="6" t="inlineStr">
        <is>
          <t>Это снимок одного месяца, посчитанный вручную. Он не заменяет учет: не покажет динамику по месяцам, не разложит прибыль по направлениям и товарам, не скажет, в какую неделю вам не хватит денег. Для этого нужна собранная панель на ваших данных. Но чтобы понять, есть ли у вас проблема, этого файла достаточно.</t>
        </is>
      </c>
    </row>
    <row r="32">
      <c r="B32" s="9" t="inlineStr">
        <is>
          <t>Заполнили и хотите проверить себя
Пришлите заполненный файл в наш телеграм, ссылка на листе «Калькулятор» внизу. Финансовый менеджер Founder Finance посмотрит ваши цифры и ответит: где у вас утекает прибыль, какие строки заполнены неверно, и что в вашей ситуации дает самый быстрый рост. Бесплатно.</t>
        </is>
      </c>
      <c r="C32" s="10" t="n"/>
    </row>
    <row r="33">
      <c r="B33" s="10" t="n"/>
      <c r="C33" s="10" t="n"/>
    </row>
    <row r="34">
      <c r="B34" s="10" t="n"/>
      <c r="C34" s="10" t="n"/>
    </row>
    <row r="35">
      <c r="B35" s="10" t="n"/>
      <c r="C35" s="10" t="n"/>
    </row>
    <row r="36">
      <c r="B36" s="10" t="n"/>
      <c r="C36" s="10" t="n"/>
    </row>
    <row r="38" ht="22" customHeight="1">
      <c r="C38" s="7" t="inlineStr">
        <is>
          <t>Как сделать копию себе</t>
        </is>
      </c>
    </row>
    <row r="39" ht="32" customHeight="1">
      <c r="C39" s="6" t="inlineStr">
        <is>
          <t>Оригинал открыт для всех только на просмотр. Ваши цифры вписываются в личную копию, ее не видит никто, кроме вас.</t>
        </is>
      </c>
    </row>
    <row r="40" ht="32" customHeight="1">
      <c r="B40" s="8" t="n">
        <v>1</v>
      </c>
      <c r="C40" s="6" t="inlineStr">
        <is>
          <t>В Google Таблицах: меню Файл, затем «Создать копию». Копия ляжет на ваш Google Диск. Если ссылка открылась сразу с окном «Копировать документ», просто нажмите кнопку.</t>
        </is>
      </c>
    </row>
    <row r="41" ht="32" customHeight="1">
      <c r="B41" s="8" t="n">
        <v>2</v>
      </c>
      <c r="C41" s="6" t="inlineStr">
        <is>
          <t>В Excel на компьютере: меню Файл, затем «Скачать», формат Microsoft Excel. Дальше работаете в скачанном файле.</t>
        </is>
      </c>
    </row>
    <row r="42" ht="18" customHeight="1">
      <c r="B42" s="8" t="n">
        <v>3</v>
      </c>
      <c r="C42" s="6" t="inlineStr">
        <is>
          <t>В Numbers на Mac файл откроется сам, просто сохраните его себе.</t>
        </is>
      </c>
    </row>
    <row r="44" ht="32" customHeight="1">
      <c r="C44" s="6" t="inlineStr">
        <is>
          <t>С телефона заполнять неудобно: строк много, а колонка с подсказками не помещается на экран. Десять минут за компьютером дадут результат, час в телефоне скорее всего нет.</t>
        </is>
      </c>
    </row>
  </sheetData>
  <mergeCells count="4">
    <mergeCell ref="B4:C4"/>
    <mergeCell ref="B32:C36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3" customWidth="1" min="4" max="4"/>
    <col width="62" customWidth="1" min="5" max="5"/>
  </cols>
  <sheetData>
    <row r="2" ht="30" customHeight="1">
      <c r="B2" s="11" t="inlineStr">
        <is>
          <t>Калькулятор чистой прибыли</t>
        </is>
      </c>
    </row>
    <row r="3">
      <c r="B3" s="2" t="inlineStr">
        <is>
          <t>Founder Finance · финансовая картина для собственника</t>
        </is>
      </c>
    </row>
    <row r="4">
      <c r="B4" s="12" t="inlineStr">
        <is>
          <t>Работайте на своей копии: Файл, затем «Создать копию». Заполняйте только желтые ячейки, за один месяц. Серые строки считаются сами. В примере условные цифры, замените их своими.</t>
        </is>
      </c>
    </row>
    <row r="6" ht="20" customHeight="1">
      <c r="B6" s="13" t="inlineStr">
        <is>
          <t>Строка</t>
        </is>
      </c>
      <c r="C6" s="14" t="inlineStr">
        <is>
          <t>Сумма за месяц</t>
        </is>
      </c>
      <c r="D6" s="14" t="inlineStr">
        <is>
          <t>% от выручки</t>
        </is>
      </c>
      <c r="E6" s="13" t="inlineStr">
        <is>
          <t>Что сюда входит и откуда взять цифру</t>
        </is>
      </c>
    </row>
    <row r="7" ht="18" customHeight="1">
      <c r="B7" s="15" t="inlineStr">
        <is>
          <t>1. ВЫРУЧКА</t>
        </is>
      </c>
      <c r="C7" s="10" t="n"/>
      <c r="D7" s="10" t="n"/>
      <c r="E7" s="10" t="n"/>
    </row>
    <row r="8" ht="30" customHeight="1">
      <c r="B8" s="16" t="inlineStr">
        <is>
          <t>Выручка за месяц</t>
        </is>
      </c>
      <c r="C8" s="17" t="n">
        <v>20000</v>
      </c>
      <c r="D8" s="18">
        <f>IF($C$8=0,0,C8/$C$8)</f>
        <v/>
      </c>
      <c r="E8" s="19" t="inlineStr">
        <is>
          <t>Все деньги, которые заработали за месяц: оплаты клиентов, касса, онлайн-заказы. Без НДС и VAT, если вы его платите. Не путать с приходом на счет: аванс за работу следующего месяца в выручку этого месяца не идет.</t>
        </is>
      </c>
    </row>
    <row r="9" ht="18" customHeight="1">
      <c r="B9" s="15" t="inlineStr">
        <is>
          <t>2. ПЕРЕМЕННЫЕ РАСХОДЫ · растут вместе с продажами</t>
        </is>
      </c>
      <c r="C9" s="10" t="n"/>
      <c r="D9" s="10" t="n"/>
      <c r="E9" s="10" t="n"/>
    </row>
    <row r="10" ht="30" customHeight="1">
      <c r="B10" s="20" t="inlineStr">
        <is>
          <t>Себестоимость товара или услуги</t>
        </is>
      </c>
      <c r="C10" s="17" t="n">
        <v>8000</v>
      </c>
      <c r="D10" s="18">
        <f>IF($C$8=0,0,C10/$C$8)</f>
        <v/>
      </c>
      <c r="E10" s="19" t="inlineStr">
        <is>
          <t>Закупка товара, материалы, сырье, сдельная оплата исполнителям. Все, что вы тратите на то, чтобы произвести или закупить проданное за месяц.</t>
        </is>
      </c>
    </row>
    <row r="11" ht="30" customHeight="1">
      <c r="B11" s="20" t="inlineStr">
        <is>
          <t>Доставка и логистика</t>
        </is>
      </c>
      <c r="C11" s="17" t="n">
        <v>800</v>
      </c>
      <c r="D11" s="18">
        <f>IF($C$8=0,0,C11/$C$8)</f>
        <v/>
      </c>
      <c r="E11" s="19" t="inlineStr">
        <is>
          <t>Доставка от поставщика и клиенту, транспорт, курьеры, таможня.</t>
        </is>
      </c>
    </row>
    <row r="12" ht="30" customHeight="1">
      <c r="B12" s="20" t="inlineStr">
        <is>
          <t>Комиссии площадок и эквайринг</t>
        </is>
      </c>
      <c r="C12" s="17" t="n">
        <v>400</v>
      </c>
      <c r="D12" s="18">
        <f>IF($C$8=0,0,C12/$C$8)</f>
        <v/>
      </c>
      <c r="E12" s="19" t="inlineStr">
        <is>
          <t>Проценты маркетплейсов, платежных систем, банка за прием оплат. Мелочь на бумаге, но на обороте это заметные деньги.</t>
        </is>
      </c>
    </row>
    <row r="13" ht="30" customHeight="1">
      <c r="B13" s="20" t="inlineStr">
        <is>
          <t>Реклама, которая приносит продажи</t>
        </is>
      </c>
      <c r="C13" s="17" t="n">
        <v>1600</v>
      </c>
      <c r="D13" s="18">
        <f>IF($C$8=0,0,C13/$C$8)</f>
        <v/>
      </c>
      <c r="E13" s="19" t="inlineStr">
        <is>
          <t>Бюджет на таргет, контекст, площадки. Стоит здесь, а не в постоянных, потому что напрямую двигает продажи: льете больше, продаете больше.</t>
        </is>
      </c>
    </row>
    <row r="14" ht="30" customHeight="1">
      <c r="B14" s="20" t="inlineStr">
        <is>
          <t>Прочие переменные</t>
        </is>
      </c>
      <c r="C14" s="17" t="n">
        <v>200</v>
      </c>
      <c r="D14" s="18">
        <f>IF($C$8=0,0,C14/$C$8)</f>
        <v/>
      </c>
      <c r="E14" s="19" t="inlineStr">
        <is>
          <t>Все остальное, что растет с числом заказов: упаковка, расходники, бонусы за продажу.</t>
        </is>
      </c>
    </row>
    <row r="15" ht="28" customHeight="1">
      <c r="B15" s="21" t="inlineStr">
        <is>
          <t>Итого переменные расходы</t>
        </is>
      </c>
      <c r="C15" s="22">
        <f>SUM(C10:C14)</f>
        <v/>
      </c>
      <c r="D15" s="23">
        <f>IF($C$8=0,0,C15/$C$8)</f>
        <v/>
      </c>
      <c r="E15" s="24" t="inlineStr">
        <is>
          <t>Сумма строк выше. Считается сама.</t>
        </is>
      </c>
    </row>
    <row r="16" ht="28" customHeight="1">
      <c r="B16" s="21" t="inlineStr">
        <is>
          <t>МАРЖИНАЛЬНЫЙ ДОХОД</t>
        </is>
      </c>
      <c r="C16" s="22">
        <f>C8-C15</f>
        <v/>
      </c>
      <c r="D16" s="23">
        <f>IF($C$8=0,0,C16/$C$8)</f>
        <v/>
      </c>
      <c r="E16" s="24" t="inlineStr">
        <is>
          <t>Выручка минус переменные. Это потолок, из которого живет вся остальная компания. Если он меньше постоянных расходов, бизнес убыточен при любом объеме продаж.</t>
        </is>
      </c>
    </row>
    <row r="17" ht="18" customHeight="1">
      <c r="B17" s="15" t="inlineStr">
        <is>
          <t>3. ПОСТОЯННЫЕ РАСХОДЫ · платите, даже если продаж нет</t>
        </is>
      </c>
      <c r="C17" s="10" t="n"/>
      <c r="D17" s="10" t="n"/>
      <c r="E17" s="10" t="n"/>
    </row>
    <row r="18" ht="30" customHeight="1">
      <c r="B18" s="20" t="inlineStr">
        <is>
          <t>Аренда и коммунальные</t>
        </is>
      </c>
      <c r="C18" s="17" t="n">
        <v>1200</v>
      </c>
      <c r="D18" s="18">
        <f>IF($C$8=0,0,C18/$C$8)</f>
        <v/>
      </c>
      <c r="E18" s="19" t="inlineStr">
        <is>
          <t>Помещение, офис, склад, свет, вода, интернет.</t>
        </is>
      </c>
    </row>
    <row r="19" ht="30" customHeight="1">
      <c r="B19" s="20" t="inlineStr">
        <is>
          <t>Зарплаты команды</t>
        </is>
      </c>
      <c r="C19" s="17" t="n">
        <v>3500</v>
      </c>
      <c r="D19" s="18">
        <f>IF($C$8=0,0,C19/$C$8)</f>
        <v/>
      </c>
      <c r="E19" s="19" t="inlineStr">
        <is>
          <t>Оклады сотрудников со всеми взносами и налогами на зарплату. Сдельную оплату за производство сюда не ставьте, она выше, в переменных.</t>
        </is>
      </c>
    </row>
    <row r="20" ht="30" customHeight="1">
      <c r="B20" s="20" t="inlineStr">
        <is>
          <t>Ваша зарплата за работу в бизнесе</t>
        </is>
      </c>
      <c r="C20" s="17" t="n">
        <v>2000</v>
      </c>
      <c r="D20" s="18">
        <f>IF($C$8=0,0,C20/$C$8)</f>
        <v/>
      </c>
      <c r="E20" s="19" t="inlineStr">
        <is>
          <t>Сколько пришлось бы платить наемному человеку на вашем месте. Это расход, а не вывод прибыли. Без этой строки файл покажет прибыль, которой нет.</t>
        </is>
      </c>
    </row>
    <row r="21" ht="30" customHeight="1">
      <c r="B21" s="20" t="inlineStr">
        <is>
          <t>Подписки, связь, банк, ПО</t>
        </is>
      </c>
      <c r="C21" s="17" t="n">
        <v>300</v>
      </c>
      <c r="D21" s="18">
        <f>IF($C$8=0,0,C21/$C$8)</f>
        <v/>
      </c>
      <c r="E21" s="19" t="inlineStr">
        <is>
          <t>CRM, хостинг, телефония, обслуживание счета, лицензии.</t>
        </is>
      </c>
    </row>
    <row r="22" ht="30" customHeight="1">
      <c r="B22" s="20" t="inlineStr">
        <is>
          <t>Бухгалтер, юрист, сервисы</t>
        </is>
      </c>
      <c r="C22" s="17" t="n">
        <v>250</v>
      </c>
      <c r="D22" s="18">
        <f>IF($C$8=0,0,C22/$C$8)</f>
        <v/>
      </c>
      <c r="E22" s="19" t="inlineStr">
        <is>
          <t>Внешние специалисты на фиксированной оплате.</t>
        </is>
      </c>
    </row>
    <row r="23" ht="30" customHeight="1">
      <c r="B23" s="20" t="inlineStr">
        <is>
          <t>Прочие постоянные</t>
        </is>
      </c>
      <c r="C23" s="17" t="n">
        <v>250</v>
      </c>
      <c r="D23" s="18">
        <f>IF($C$8=0,0,C23/$C$8)</f>
        <v/>
      </c>
      <c r="E23" s="19" t="inlineStr">
        <is>
          <t>Все остальное, что уходит каждый месяц независимо от продаж. Свободная строка под ваши статьи.</t>
        </is>
      </c>
    </row>
    <row r="24" ht="28" customHeight="1">
      <c r="B24" s="21" t="inlineStr">
        <is>
          <t>Итого постоянные расходы</t>
        </is>
      </c>
      <c r="C24" s="22">
        <f>SUM(C18:C23)</f>
        <v/>
      </c>
      <c r="D24" s="23">
        <f>IF($C$8=0,0,C24/$C$8)</f>
        <v/>
      </c>
      <c r="E24" s="24" t="inlineStr">
        <is>
          <t>Сумма строк выше. Считается сама.</t>
        </is>
      </c>
    </row>
    <row r="25" ht="28" customHeight="1">
      <c r="B25" s="21" t="inlineStr">
        <is>
          <t>ОПЕРАЦИОННАЯ ПРИБЫЛЬ</t>
        </is>
      </c>
      <c r="C25" s="22">
        <f>C16-C24</f>
        <v/>
      </c>
      <c r="D25" s="23">
        <f>IF($C$8=0,0,C25/$C$8)</f>
        <v/>
      </c>
      <c r="E25" s="24" t="inlineStr">
        <is>
          <t>Сколько зарабатывает сам бизнес до налогов и кредитов. Главный показатель здоровья модели: если он в минусе, проблема не в налогах.</t>
        </is>
      </c>
    </row>
    <row r="26" ht="18" customHeight="1">
      <c r="B26" s="15" t="inlineStr">
        <is>
          <t>4. НАЛОГИ И КРЕДИТЫ</t>
        </is>
      </c>
      <c r="C26" s="10" t="n"/>
      <c r="D26" s="10" t="n"/>
      <c r="E26" s="10" t="n"/>
    </row>
    <row r="27" ht="30" customHeight="1">
      <c r="B27" s="16" t="inlineStr">
        <is>
          <t>Налоги, проценты по кредитам, прочее</t>
        </is>
      </c>
      <c r="C27" s="17" t="n">
        <v>600</v>
      </c>
      <c r="D27" s="18">
        <f>IF($C$8=0,0,C27/$C$8)</f>
        <v/>
      </c>
      <c r="E27" s="19" t="inlineStr">
        <is>
          <t>Налог на прибыль или оборот, взносы за себя, проценты по займам, курсовые потери. НДС и VAT сюда не ставьте: это транзитный налог клиента, он не ваш расход.</t>
        </is>
      </c>
    </row>
    <row r="28" ht="32" customHeight="1">
      <c r="B28" s="25" t="inlineStr">
        <is>
          <t>ЧИСТАЯ ПРИБЫЛЬ</t>
        </is>
      </c>
      <c r="C28" s="26">
        <f>C25-C27</f>
        <v/>
      </c>
      <c r="D28" s="23">
        <f>IF($C$8=0,0,C28/$C$8)</f>
        <v/>
      </c>
      <c r="E28" s="24" t="inlineStr">
        <is>
          <t>То, что реально заработал бизнес за месяц. Из нее платятся дивиденды, формируется резерв и деньги на развитие.</t>
        </is>
      </c>
    </row>
    <row r="30">
      <c r="B30" s="27" t="inlineStr">
        <is>
          <t>Смотрите на две цифры рядом: маржинальный доход и чистую прибыль.
В примере маржинальный доход 45% от выручки, а чистая прибыль 4,5%. То есть из каждых десяти евро, дошедших до маржинального дохода, до вас доходит один. Это обычная картина для бизнеса без учета: деньги уходят не в одну дыру, а понемногу в десяти строках сразу. Пока строки не разделены, кажется, что «просто мало продаем», и собственник разгоняет продажи, хотя проблема в расходах.</t>
        </is>
      </c>
      <c r="C30" s="10" t="n"/>
      <c r="D30" s="10" t="n"/>
      <c r="E30" s="10" t="n"/>
    </row>
    <row r="31">
      <c r="B31" s="10" t="n"/>
      <c r="C31" s="10" t="n"/>
      <c r="D31" s="10" t="n"/>
      <c r="E31" s="10" t="n"/>
    </row>
    <row r="32">
      <c r="B32" s="10" t="n"/>
      <c r="C32" s="10" t="n"/>
      <c r="D32" s="10" t="n"/>
      <c r="E32" s="10" t="n"/>
    </row>
    <row r="33">
      <c r="B33" s="10" t="n"/>
      <c r="C33" s="10" t="n"/>
      <c r="D33" s="10" t="n"/>
      <c r="E33" s="10" t="n"/>
    </row>
    <row r="35" ht="24" customHeight="1">
      <c r="B35" s="28" t="inlineStr">
        <is>
          <t>Проверьте себя: сколько нужно продавать, чтобы не уйти в минус</t>
        </is>
      </c>
    </row>
    <row r="36">
      <c r="B36" s="12" t="inlineStr">
        <is>
          <t>Считается автоматически из ваших цифр. Вводить ничего не нужно.</t>
        </is>
      </c>
    </row>
    <row r="37" ht="30" customHeight="1">
      <c r="B37" s="29" t="inlineStr">
        <is>
          <t>Доля маржинального дохода в выручке</t>
        </is>
      </c>
      <c r="C37" s="23">
        <f>IF(C8=0,0,C16/C8)</f>
        <v/>
      </c>
      <c r="D37" s="30" t="n"/>
      <c r="E37" s="19" t="inlineStr">
        <is>
          <t>Сколько центов с каждого евро выручки остается после переменных расходов.</t>
        </is>
      </c>
    </row>
    <row r="38" ht="30" customHeight="1">
      <c r="B38" s="29" t="inlineStr">
        <is>
          <t>Точка безубыточности за месяц</t>
        </is>
      </c>
      <c r="C38" s="22">
        <f>IF(C37=0,0,(C24+C27)/C37)</f>
        <v/>
      </c>
      <c r="D38" s="30" t="n"/>
      <c r="E38" s="19" t="inlineStr">
        <is>
          <t>Столько нужно продать за месяц, чтобы выйти в ноль. Меньше этой суммы вы работаете в убыток.</t>
        </is>
      </c>
    </row>
    <row r="39" ht="30" customHeight="1">
      <c r="B39" s="29" t="inlineStr">
        <is>
          <t>Запас прочности</t>
        </is>
      </c>
      <c r="C39" s="23">
        <f>IF(C8=0,0,(C8-C38)/C8)</f>
        <v/>
      </c>
      <c r="D39" s="30" t="n"/>
      <c r="E39" s="19" t="inlineStr">
        <is>
          <t>На сколько процентов может упасть выручка, прежде чем вы уйдете в минус. Меньше 20% это зона риска: один потерянный клиент выносит месяц.</t>
        </is>
      </c>
    </row>
    <row r="41" ht="24" customHeight="1">
      <c r="B41" s="28" t="inlineStr">
        <is>
          <t>Что дальше</t>
        </is>
      </c>
    </row>
    <row r="42">
      <c r="B42" s="9" t="inlineStr">
        <is>
          <t>Цифры перед вами. Дальше начинается самое сложное: понять, о чем они говорят именно в вашем бизнесе.
Пришлите заполненный файл нам, и финансовый менеджер Founder Finance разберет его лично. Вы получите ответ на четыре вопроса: правильно ли вы разнесли расходы по строкам, в какой строке вы теряете больше всего, нормальные ли у вас проценты для вашей отрасли, и какое одно действие даст самый быстрый прирост прибыли.
Это бесплатно и без презентации в конце.</t>
        </is>
      </c>
      <c r="C42" s="10" t="n"/>
      <c r="D42" s="10" t="n"/>
      <c r="E42" s="10" t="n"/>
    </row>
    <row r="43">
      <c r="B43" s="10" t="n"/>
      <c r="C43" s="10" t="n"/>
      <c r="D43" s="10" t="n"/>
      <c r="E43" s="10" t="n"/>
    </row>
    <row r="44">
      <c r="B44" s="10" t="n"/>
      <c r="C44" s="10" t="n"/>
      <c r="D44" s="10" t="n"/>
      <c r="E44" s="10" t="n"/>
    </row>
    <row r="45">
      <c r="B45" s="10" t="n"/>
      <c r="C45" s="10" t="n"/>
      <c r="D45" s="10" t="n"/>
      <c r="E45" s="10" t="n"/>
    </row>
    <row r="46">
      <c r="B46" s="10" t="n"/>
      <c r="C46" s="10" t="n"/>
      <c r="D46" s="10" t="n"/>
      <c r="E46" s="10" t="n"/>
    </row>
    <row r="47" ht="28" customHeight="1">
      <c r="B47" s="31" t="inlineStr">
        <is>
          <t>Отправить свои цифры на разбор  →  жмите сюда</t>
        </is>
      </c>
      <c r="C47" s="4" t="n"/>
      <c r="D47" s="4" t="n"/>
      <c r="E47" s="4" t="n"/>
    </row>
    <row r="48">
      <c r="B48" s="32" t="inlineStr">
        <is>
          <t>Ссылка откроет телеграм. Приложите этот файл в чат и напишите одной строкой, чем занимается бизнес и в какой стране компания.</t>
        </is>
      </c>
    </row>
  </sheetData>
  <mergeCells count="14">
    <mergeCell ref="B17:E17"/>
    <mergeCell ref="B9:E9"/>
    <mergeCell ref="B26:E26"/>
    <mergeCell ref="B41:E41"/>
    <mergeCell ref="B35:E35"/>
    <mergeCell ref="B4:E4"/>
    <mergeCell ref="B48:E48"/>
    <mergeCell ref="B7:E7"/>
    <mergeCell ref="B3:E3"/>
    <mergeCell ref="B2:E2"/>
    <mergeCell ref="B30:E33"/>
    <mergeCell ref="B42:E46"/>
    <mergeCell ref="B47:E47"/>
    <mergeCell ref="B36:E36"/>
  </mergeCells>
  <hyperlinks>
    <hyperlink xmlns:r="http://schemas.openxmlformats.org/officeDocument/2006/relationships" ref="B47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6" customWidth="1" min="3" max="3"/>
  </cols>
  <sheetData>
    <row r="2" ht="30" customHeight="1">
      <c r="B2" s="1" t="inlineStr">
        <is>
          <t>Что означают цифры</t>
        </is>
      </c>
    </row>
    <row r="3">
      <c r="B3" s="2" t="inlineStr">
        <is>
          <t>Короткий словарь без финансовых терминов</t>
        </is>
      </c>
    </row>
    <row r="5" ht="24" customHeight="1">
      <c r="B5" s="28" t="inlineStr">
        <is>
          <t>Три главные строки</t>
        </is>
      </c>
    </row>
    <row r="6" ht="52" customHeight="1">
      <c r="B6" s="33" t="inlineStr">
        <is>
          <t>Маржинальный доход</t>
        </is>
      </c>
      <c r="C6" s="6" t="inlineStr">
        <is>
          <t>Выручка минус переменные расходы. Показывает, сколько остается с продаж на все остальное. Первое, за чем следят: если маржинальный доход меньше постоянных расходов, увеличение продаж только ускорит убытки.</t>
        </is>
      </c>
    </row>
    <row r="7" ht="52" customHeight="1">
      <c r="B7" s="33" t="inlineStr">
        <is>
          <t>Операционная прибыль</t>
        </is>
      </c>
      <c r="C7" s="6" t="inlineStr">
        <is>
          <t>Что зарабатывает сам бизнес после аренды, зарплат и подписок, но до налогов и кредитов. Показывает, работает ли модель как таковая. Если тут минус, дело не в налоговой нагрузке и не в кредите, дело в самой конструкции бизнеса.</t>
        </is>
      </c>
    </row>
    <row r="8" ht="42" customHeight="1">
      <c r="B8" s="33" t="inlineStr">
        <is>
          <t>Чистая прибыль</t>
        </is>
      </c>
      <c r="C8" s="6" t="inlineStr">
        <is>
          <t>То, что осталось после всего. Из нее выплачиваются дивиденды, откладывается резерв и финансируется развитие. Это и есть ответ на вопрос «сколько я заработал».</t>
        </is>
      </c>
    </row>
    <row r="10" ht="24" customHeight="1">
      <c r="B10" s="28" t="inlineStr">
        <is>
          <t>Что с чем чаще всего путают</t>
        </is>
      </c>
    </row>
    <row r="11" ht="42" customHeight="1">
      <c r="B11" s="33" t="inlineStr">
        <is>
          <t>Деньги на счете это не прибыль</t>
        </is>
      </c>
      <c r="C11" s="6" t="inlineStr">
        <is>
          <t>На счете лежат в том числе чужие деньги: авансы клиентов за невыполненную работу, налоги к уплате, деньги под закупку. Остаток может расти, пока бизнес теряет.</t>
        </is>
      </c>
    </row>
    <row r="12" ht="42" customHeight="1">
      <c r="B12" s="33" t="inlineStr">
        <is>
          <t>Выручка это не прибыль</t>
        </is>
      </c>
      <c r="C12" s="6" t="inlineStr">
        <is>
          <t>Рост оборота при падающей марже это дорога к разрыву: больше продаж означает больше закупок и авансов, деньги замораживаются раньше, чем приходят.</t>
        </is>
      </c>
    </row>
    <row r="13" ht="52" customHeight="1">
      <c r="B13" s="33" t="inlineStr">
        <is>
          <t>Вывод денег это не расход</t>
        </is>
      </c>
      <c r="C13" s="6" t="inlineStr">
        <is>
          <t>Три разные операции: оклад за вашу работу это расход компании, дивиденды это распределение чистой прибыли, деньги взятые в моменте это заем себе. Смешивать их нельзя, иначе прибыль не сходится ни в одном месяце.</t>
        </is>
      </c>
    </row>
    <row r="14" ht="42" customHeight="1">
      <c r="B14" s="33" t="inlineStr">
        <is>
          <t>НДС или VAT это не ваши деньги</t>
        </is>
      </c>
      <c r="C14" s="6" t="inlineStr">
        <is>
          <t>Вы собираете этот налог с клиента и передаете государству. В прибыли он не участвует. Если считать его выручкой, картина будет завышена на всю ставку.</t>
        </is>
      </c>
    </row>
    <row r="16" ht="24" customHeight="1">
      <c r="B16" s="28" t="inlineStr">
        <is>
          <t>На какие проценты смотреть</t>
        </is>
      </c>
    </row>
    <row r="17" ht="52" customHeight="1">
      <c r="B17" s="33" t="inlineStr">
        <is>
          <t>Ориентир, а не норматив</t>
        </is>
      </c>
      <c r="C17" s="6" t="inlineStr">
        <is>
          <t>Универсальных норм нет, у услуг и торговли они отличаются в разы. Полезнее сравнивать себя с собой: посчитайте два-три месяца подряд и смотрите, какая строка растет быстрее выручки. Именно она забирает вашу прибыль.</t>
        </is>
      </c>
    </row>
    <row r="18" ht="52" customHeight="1">
      <c r="B18" s="33" t="inlineStr">
        <is>
          <t>Правило одной строки</t>
        </is>
      </c>
      <c r="C18" s="6" t="inlineStr">
        <is>
          <t>Не пытайтесь оптимизировать все сразу. Найдите строку с самой большой долей от выручки и займитесь только ей. Один процент на самой крупной строке дает больше, чем полная экономия на мелких.</t>
        </is>
      </c>
    </row>
    <row r="20" ht="24" customHeight="1">
      <c r="B20" s="28" t="inlineStr">
        <is>
          <t>Где этот файл перестает помогать</t>
        </is>
      </c>
    </row>
    <row r="21" ht="52" customHeight="1">
      <c r="B21" s="33" t="inlineStr">
        <is>
          <t>Один месяц вручную</t>
        </is>
      </c>
      <c r="C21" s="6" t="inlineStr">
        <is>
          <t>Файл считает снимок одного месяца по вашей памяти и выписке. Он не покажет, как менялась прибыль от месяца к месяцу, какое направление кормит, а какое ест, и в какую неделю у вас кончатся деньги.</t>
        </is>
      </c>
    </row>
    <row r="22" ht="52" customHeight="1">
      <c r="B22" s="33" t="inlineStr">
        <is>
          <t>Что нужно дальше</t>
        </is>
      </c>
      <c r="C22" s="6" t="inlineStr">
        <is>
          <t>Собранная на ваших данных панель: помесячная прибыль, экономика по направлениям и платежный календарь на восемь недель вперед. Это уже не файл, а собранная и обновляемая картина вашего бизнеса.</t>
        </is>
      </c>
    </row>
    <row r="24">
      <c r="B24" s="9" t="inlineStr">
        <is>
          <t>Разбор ваших цифр
Заполнили калькулятор и хотите понять, что с этим делать. Пришлите файл нам в телеграм, финансовый менеджер Founder Finance разберет его лично и ответит письменно: где утекает прибыль, что заполнено неверно и какое одно действие даст самый быстрый результат.
Бесплатно, без презентации в конце.</t>
        </is>
      </c>
      <c r="C24" s="10" t="n"/>
    </row>
    <row r="25">
      <c r="B25" s="10" t="n"/>
      <c r="C25" s="10" t="n"/>
    </row>
    <row r="26">
      <c r="B26" s="10" t="n"/>
      <c r="C26" s="10" t="n"/>
    </row>
    <row r="27">
      <c r="B27" s="10" t="n"/>
      <c r="C27" s="10" t="n"/>
    </row>
    <row r="28">
      <c r="B28" s="10" t="n"/>
      <c r="C28" s="10" t="n"/>
    </row>
    <row r="29" ht="28" customHeight="1">
      <c r="B29" s="31" t="inlineStr">
        <is>
          <t>Отправить свои цифры на разбор  →  жмите сюда</t>
        </is>
      </c>
      <c r="C29" s="4" t="n"/>
    </row>
    <row r="31" ht="28" customHeight="1">
      <c r="B31" s="34" t="inlineStr">
        <is>
          <t>Founder Finance · управленческий учет на русском для бизнеса в Европе и США. 7+ лет практики в управленческом учете. Оплата в евро на европейский счет.</t>
        </is>
      </c>
    </row>
  </sheetData>
  <mergeCells count="9">
    <mergeCell ref="B16:C16"/>
    <mergeCell ref="B2:C2"/>
    <mergeCell ref="B29:C29"/>
    <mergeCell ref="B3:C3"/>
    <mergeCell ref="B5:C5"/>
    <mergeCell ref="B20:C20"/>
    <mergeCell ref="B10:C10"/>
    <mergeCell ref="B31:C31"/>
    <mergeCell ref="B24:C28"/>
  </mergeCells>
  <hyperlinks>
    <hyperlink xmlns:r="http://schemas.openxmlformats.org/officeDocument/2006/relationships" ref="B2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2026-08-06T08:32:39Z</dcterms:created>
  <dcterms:modified xsi:type="dcterms:W3CDTF">2026-08-06T08:32:39Z</dcterms:modified>
</cp:coreProperties>
</file>