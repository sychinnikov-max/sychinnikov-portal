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чните здесь" sheetId="1" state="visible" r:id="rId1"/>
    <sheet name="Календарь" sheetId="2" state="visible" r:id="rId2"/>
    <sheet name="Если видите разры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&quot; €&quot;;[Red]-#,##0&quot; €&quot;"/>
    <numFmt numFmtId="167" formatCode="dd.mm"/>
  </numFmts>
  <fonts count="17">
    <font>
      <name val="Calibri"/>
      <family val="2"/>
      <color theme="1"/>
      <sz val="11"/>
      <scheme val="minor"/>
    </font>
    <font>
      <name val="Georgia"/>
      <b val="1"/>
      <color rgb="002A2520"/>
      <sz val="20"/>
    </font>
    <font>
      <name val="Calibri"/>
      <i val="1"/>
      <color rgb="007A6F5C"/>
      <sz val="11"/>
    </font>
    <font>
      <name val="Georgia"/>
      <b val="1"/>
      <color rgb="002A2520"/>
      <sz val="14"/>
    </font>
    <font>
      <name val="Calibri"/>
      <color rgb="002A2520"/>
      <sz val="11"/>
    </font>
    <font>
      <name val="Georgia"/>
      <b val="1"/>
      <color rgb="007A5C12"/>
      <sz val="12"/>
    </font>
    <font>
      <name val="Calibri"/>
      <color rgb="009A875C"/>
      <sz val="10"/>
    </font>
    <font>
      <name val="Calibri"/>
      <b val="1"/>
      <color rgb="002A2520"/>
      <sz val="11"/>
    </font>
    <font>
      <name val="Calibri"/>
      <color rgb="006E6353"/>
      <sz val="9"/>
    </font>
    <font>
      <name val="Calibri"/>
      <b val="1"/>
      <color rgb="00131210"/>
      <sz val="10"/>
    </font>
    <font>
      <name val="Calibri"/>
      <color rgb="006E6353"/>
      <sz val="10"/>
    </font>
    <font>
      <name val="Calibri"/>
      <b val="1"/>
      <color rgb="007A5C12"/>
      <sz val="11"/>
    </font>
    <font>
      <name val="Calibri"/>
      <i val="1"/>
      <color rgb="009A875C"/>
      <sz val="11"/>
    </font>
    <font>
      <name val="Calibri"/>
      <b val="1"/>
      <color rgb="007A5C12"/>
      <sz val="12"/>
    </font>
    <font>
      <name val="Calibri"/>
      <b val="1"/>
      <color rgb="002A2520"/>
      <sz val="10"/>
    </font>
    <font>
      <name val="Calibri"/>
      <b val="1"/>
      <color rgb="001F5C8B"/>
      <sz val="12"/>
      <u val="single"/>
    </font>
    <font>
      <name val="Calibri"/>
      <color rgb="009A875C"/>
      <sz val="9"/>
    </font>
  </fonts>
  <fills count="6">
    <fill>
      <patternFill/>
    </fill>
    <fill>
      <patternFill patternType="gray125"/>
    </fill>
    <fill>
      <patternFill patternType="solid">
        <fgColor rgb="00FAF6EC"/>
      </patternFill>
    </fill>
    <fill>
      <patternFill patternType="solid">
        <fgColor rgb="00FFF7DD"/>
      </patternFill>
    </fill>
    <fill>
      <patternFill patternType="solid">
        <fgColor rgb="00F4ECD8"/>
      </patternFill>
    </fill>
    <fill>
      <patternFill patternType="solid">
        <fgColor rgb="00EFE0BB"/>
      </patternFill>
    </fill>
  </fills>
  <borders count="2">
    <border>
      <left/>
      <right/>
      <top/>
      <bottom/>
      <diagonal/>
    </border>
    <border>
      <left style="thin">
        <color rgb="00D9CFBC"/>
      </left>
      <right style="thin">
        <color rgb="00D9CFBC"/>
      </right>
      <top style="thin">
        <color rgb="00D9CFBC"/>
      </top>
      <bottom style="thin">
        <color rgb="00D9CFB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 vertical="top"/>
    </xf>
    <xf numFmtId="0" fontId="4" fillId="2" borderId="1" applyAlignment="1" pivotButton="0" quotePrefix="0" xfId="0">
      <alignment horizontal="left" vertical="top" wrapText="1"/>
    </xf>
    <xf numFmtId="0" fontId="0" fillId="2" borderId="1" pivotButton="0" quotePrefix="0" xfId="0"/>
    <xf numFmtId="0" fontId="1" fillId="0" borderId="0" applyAlignment="1" pivotButton="0" quotePrefix="0" xfId="0">
      <alignment vertical="center"/>
    </xf>
    <xf numFmtId="0" fontId="6" fillId="0" borderId="0" pivotButton="0" quotePrefix="0" xfId="0"/>
    <xf numFmtId="0" fontId="7" fillId="0" borderId="1" applyAlignment="1" pivotButton="0" quotePrefix="0" xfId="0">
      <alignment horizontal="left" vertical="center" indent="1"/>
    </xf>
    <xf numFmtId="165" fontId="4" fillId="3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166" fontId="4" fillId="3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indent="1"/>
    </xf>
    <xf numFmtId="167" fontId="1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indent="1"/>
    </xf>
    <xf numFmtId="166" fontId="7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8" fillId="5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3"/>
    </xf>
    <xf numFmtId="166" fontId="7" fillId="0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left" vertical="center" indent="3"/>
    </xf>
    <xf numFmtId="0" fontId="13" fillId="5" borderId="1" applyAlignment="1" pivotButton="0" quotePrefix="0" xfId="0">
      <alignment horizontal="left" vertical="center" indent="1"/>
    </xf>
    <xf numFmtId="166" fontId="13" fillId="5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center" vertical="center"/>
    </xf>
    <xf numFmtId="0" fontId="3" fillId="0" borderId="0" pivotButton="0" quotePrefix="0" xfId="0"/>
    <xf numFmtId="1" fontId="7" fillId="5" borderId="1" applyAlignment="1" pivotButton="0" quotePrefix="0" xfId="0">
      <alignment horizontal="right" vertical="center"/>
    </xf>
    <xf numFmtId="0" fontId="1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7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b val="1"/>
        <color rgb="00A33B18"/>
      </font>
      <fill>
        <patternFill patternType="solid">
          <fgColor rgb="00F6D8CE"/>
        </patternFill>
      </fill>
    </dxf>
    <dxf>
      <font>
        <b val="1"/>
        <color rgb="008A6A12"/>
      </font>
      <fill>
        <patternFill patternType="solid">
          <fgColor rgb="00FBEFC9"/>
        </patternFill>
      </fill>
    </dxf>
    <dxf>
      <font>
        <b val="1"/>
        <color rgb="003F6B25"/>
      </font>
      <fill>
        <patternFill patternType="solid">
          <fgColor rgb="00E4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t.me/Sychinnikov_finance_bot?start=calendar_review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t.me/Sychinnikov_finance_bot?start=calendar_revie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100" customWidth="1" min="3" max="3"/>
  </cols>
  <sheetData>
    <row r="2" ht="30" customHeight="1">
      <c r="B2" s="1" t="inlineStr">
        <is>
          <t>Платежный календарь на 8 недель</t>
        </is>
      </c>
    </row>
    <row r="3">
      <c r="B3" s="2" t="inlineStr">
        <is>
          <t>Founder Finance · финансовая картина для собственника</t>
        </is>
      </c>
    </row>
    <row r="5" ht="24" customHeight="1">
      <c r="C5" s="3" t="inlineStr">
        <is>
          <t>Зачем он нужен</t>
        </is>
      </c>
    </row>
    <row r="6" ht="48" customHeight="1">
      <c r="C6" s="4" t="inlineStr">
        <is>
          <t>Кассовый разрыв это когда платить нужно сегодня, а деньги придут в четверг. Он почти никогда не случается внезапно. Его видно за недели, если поступления и платежи стоят по датам на одном экране.</t>
        </is>
      </c>
    </row>
    <row r="7" ht="32" customHeight="1">
      <c r="C7" s="4" t="inlineStr">
        <is>
          <t>Выписка по счету показывает прошлое. Платежный календарь показывает будущее. Управлять деньгами имеет смысл по второму.</t>
        </is>
      </c>
    </row>
    <row r="9" ht="22" customHeight="1">
      <c r="C9" s="5" t="inlineStr">
        <is>
          <t>Что понадобится</t>
        </is>
      </c>
    </row>
    <row r="10" ht="18" customHeight="1">
      <c r="C10" s="4" t="inlineStr">
        <is>
          <t>Остаток денег на сегодня: все счета, карты, наличные, криптокошельки, вместе одной суммой.</t>
        </is>
      </c>
    </row>
    <row r="11" ht="32" customHeight="1">
      <c r="C11" s="4" t="inlineStr">
        <is>
          <t>Кто и когда вам заплатит в ближайшие два месяца: выставленные счета, договоренности, регулярные клиенты.</t>
        </is>
      </c>
    </row>
    <row r="12" ht="32" customHeight="1">
      <c r="C12" s="4" t="inlineStr">
        <is>
          <t>Что вам нужно оплатить: аренда, зарплаты, налоги, поставщики, кредиты, подписки. Возьмите прошлый месяц выписки, оттуда видно почти все регулярные платежи.</t>
        </is>
      </c>
    </row>
    <row r="14" ht="22" customHeight="1">
      <c r="C14" s="5" t="inlineStr">
        <is>
          <t>Как заполнять</t>
        </is>
      </c>
    </row>
    <row r="15" ht="30" customHeight="1">
      <c r="B15" s="6" t="n">
        <v>1</v>
      </c>
      <c r="C15" s="4" t="inlineStr">
        <is>
          <t>Откройте лист «Календарь». Поставьте дату понедельника ближайшей недели, остальные семь недель проставятся сами.</t>
        </is>
      </c>
    </row>
    <row r="16" ht="18" customHeight="1">
      <c r="B16" s="6" t="n">
        <v>2</v>
      </c>
      <c r="C16" s="4" t="inlineStr">
        <is>
          <t>Впишите остаток денег на начало первой недели и ваш минимальный запас, ниже которого опускаться нельзя.</t>
        </is>
      </c>
    </row>
    <row r="17" ht="18" customHeight="1">
      <c r="B17" s="6" t="n">
        <v>3</v>
      </c>
      <c r="C17" s="4" t="inlineStr">
        <is>
          <t>Идите сверху вниз по статьям и ставьте суммы в ту неделю, когда деньги реально придут или уйдут.</t>
        </is>
      </c>
    </row>
    <row r="18" ht="18" customHeight="1">
      <c r="B18" s="6" t="n">
        <v>4</v>
      </c>
      <c r="C18" s="4" t="inlineStr">
        <is>
          <t>Не по каждой статье есть цифра, оставьте пусто. Пустая ячейка это ноль.</t>
        </is>
      </c>
    </row>
    <row r="19" ht="18" customHeight="1">
      <c r="B19" s="6" t="n">
        <v>5</v>
      </c>
      <c r="C19" s="4" t="inlineStr">
        <is>
          <t>Своих статей нет в списке, впишите их в свободные строки, они отмечены серым.</t>
        </is>
      </c>
    </row>
    <row r="20" ht="18" customHeight="1">
      <c r="B20" s="6" t="n">
        <v>6</v>
      </c>
      <c r="C20" s="4" t="inlineStr">
        <is>
          <t>Смотрите на строку светофора внизу. Она сама покажет, в какую неделю у вас проблема.</t>
        </is>
      </c>
    </row>
    <row r="22" ht="22" customHeight="1">
      <c r="C22" s="5" t="inlineStr">
        <is>
          <t>Два правила, без которых календарь врет</t>
        </is>
      </c>
    </row>
    <row r="23" ht="48" customHeight="1">
      <c r="C23" s="4" t="inlineStr">
        <is>
          <t>Первое: ставьте деньги по дате, когда они реально двигаются, а не когда подписан документ. Клиент обещал заплатить в конце месяца, значит сумма стоит в последней неделе месяца, а не в той, когда вы выставили счет.</t>
        </is>
      </c>
    </row>
    <row r="24" ht="48" customHeight="1">
      <c r="C24" s="4" t="inlineStr">
        <is>
          <t>Второе: планируйте поступления осторожно, а платежи полностью. Собственники обычно делают наоборот и получают разрыв там, где по плану был запас. Если не уверены, что клиент заплатит вовремя, поставьте сумму на неделю позже.</t>
        </is>
      </c>
    </row>
    <row r="26" ht="22" customHeight="1">
      <c r="C26" s="5" t="inlineStr">
        <is>
          <t>Как часто обновлять</t>
        </is>
      </c>
    </row>
    <row r="27" ht="48" customHeight="1">
      <c r="C27" s="4" t="inlineStr">
        <is>
          <t>Раз в неделю, в один и тот же день, за пятнадцать минут. Сдвинули факт, добавили новую неделю в конец. Чем острее ситуация с деньгами, тем чаще: при остром разрыве смотрят каждый день.</t>
        </is>
      </c>
    </row>
    <row r="29">
      <c r="B29" s="7" t="inlineStr">
        <is>
          <t>Заполнили и хотите проверку
Пришлите заполненный календарь нам в телеграм, ссылка есть на листе «Календарь». Финансовый менеджер Founder Finance посмотрит и ответит: не идет ли ваш бизнес к разрыву в ближайшие недели, какие статьи вы забыли учесть и что можно подвинуть, чтобы разрыва не было. Бесплатно.</t>
        </is>
      </c>
      <c r="C29" s="8" t="n"/>
    </row>
    <row r="30">
      <c r="B30" s="8" t="n"/>
      <c r="C30" s="8" t="n"/>
    </row>
    <row r="31">
      <c r="B31" s="8" t="n"/>
      <c r="C31" s="8" t="n"/>
    </row>
    <row r="32">
      <c r="B32" s="8" t="n"/>
      <c r="C32" s="8" t="n"/>
    </row>
    <row r="33">
      <c r="B33" s="8" t="n"/>
      <c r="C33" s="8" t="n"/>
    </row>
  </sheetData>
  <mergeCells count="3">
    <mergeCell ref="B3:C3"/>
    <mergeCell ref="B2:C2"/>
    <mergeCell ref="B29:C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48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44" customWidth="1" min="12" max="12"/>
  </cols>
  <sheetData>
    <row r="2" ht="30" customHeight="1">
      <c r="B2" s="9" t="inlineStr">
        <is>
          <t>Платежный календарь на 8 недель</t>
        </is>
      </c>
    </row>
    <row r="3">
      <c r="B3" s="10" t="inlineStr">
        <is>
          <t>Заполняйте желтые ячейки. Ставьте сумму в ту неделю, когда деньги реально придут или уйдут. Пустая ячейка это ноль. Серые строки внизу считаются сами.</t>
        </is>
      </c>
    </row>
    <row r="5">
      <c r="B5" s="11" t="inlineStr">
        <is>
          <t>Понедельник первой недели</t>
        </is>
      </c>
      <c r="C5" s="12" t="n">
        <v>46244</v>
      </c>
      <c r="D5" s="13" t="inlineStr">
        <is>
          <t>Поставьте свою дату, остальные недели проставятся сами.</t>
        </is>
      </c>
    </row>
    <row r="6">
      <c r="B6" s="11" t="inlineStr">
        <is>
          <t>Минимальный запас денег</t>
        </is>
      </c>
      <c r="C6" s="14" t="n">
        <v>3000</v>
      </c>
      <c r="D6" s="13" t="inlineStr">
        <is>
          <t>Сумма, ниже которой опускаться нельзя. Ориентир: две недели ваших постоянных расходов. Светофор внизу сравнивает остаток именно с этой цифрой.</t>
        </is>
      </c>
    </row>
    <row r="8" ht="30" customHeight="1">
      <c r="B8" s="15" t="inlineStr">
        <is>
          <t>Статья</t>
        </is>
      </c>
      <c r="C8" s="16" t="inlineStr">
        <is>
          <t>Неделя 1</t>
        </is>
      </c>
      <c r="D8" s="16" t="inlineStr">
        <is>
          <t>Неделя 2</t>
        </is>
      </c>
      <c r="E8" s="16" t="inlineStr">
        <is>
          <t>Неделя 3</t>
        </is>
      </c>
      <c r="F8" s="16" t="inlineStr">
        <is>
          <t>Неделя 4</t>
        </is>
      </c>
      <c r="G8" s="16" t="inlineStr">
        <is>
          <t>Неделя 5</t>
        </is>
      </c>
      <c r="H8" s="16" t="inlineStr">
        <is>
          <t>Неделя 6</t>
        </is>
      </c>
      <c r="I8" s="16" t="inlineStr">
        <is>
          <t>Неделя 7</t>
        </is>
      </c>
      <c r="J8" s="16" t="inlineStr">
        <is>
          <t>Неделя 8</t>
        </is>
      </c>
      <c r="K8" s="16" t="inlineStr">
        <is>
          <t>Итого за 8 недель</t>
        </is>
      </c>
      <c r="L8" s="15" t="inlineStr">
        <is>
          <t>Что сюда входит и когда обычно платится</t>
        </is>
      </c>
    </row>
    <row r="9">
      <c r="B9" s="17" t="inlineStr">
        <is>
          <t>Неделя с</t>
        </is>
      </c>
      <c r="C9" s="18">
        <f>$C$5</f>
        <v/>
      </c>
      <c r="D9" s="18">
        <f>C9+7</f>
        <v/>
      </c>
      <c r="E9" s="18">
        <f>D9+7</f>
        <v/>
      </c>
      <c r="F9" s="18">
        <f>E9+7</f>
        <v/>
      </c>
      <c r="G9" s="18">
        <f>F9+7</f>
        <v/>
      </c>
      <c r="H9" s="18">
        <f>G9+7</f>
        <v/>
      </c>
      <c r="I9" s="18">
        <f>H9+7</f>
        <v/>
      </c>
      <c r="J9" s="18">
        <f>I9+7</f>
        <v/>
      </c>
      <c r="K9" s="19" t="n"/>
      <c r="L9" s="20" t="inlineStr">
        <is>
          <t>Даты считаются от вашей даты в ячейке выше.</t>
        </is>
      </c>
    </row>
    <row r="10" ht="26" customHeight="1">
      <c r="B10" s="21" t="inlineStr">
        <is>
          <t>Остаток денег на начало недели</t>
        </is>
      </c>
      <c r="C10" s="14" t="n">
        <v>6000</v>
      </c>
      <c r="D10" s="22">
        <f>C35</f>
        <v/>
      </c>
      <c r="E10" s="22">
        <f>D35</f>
        <v/>
      </c>
      <c r="F10" s="22">
        <f>E35</f>
        <v/>
      </c>
      <c r="G10" s="22">
        <f>F35</f>
        <v/>
      </c>
      <c r="H10" s="22">
        <f>G35</f>
        <v/>
      </c>
      <c r="I10" s="22">
        <f>H35</f>
        <v/>
      </c>
      <c r="J10" s="22">
        <f>I35</f>
        <v/>
      </c>
      <c r="K10" s="23" t="n"/>
      <c r="L10" s="24" t="inlineStr">
        <is>
          <t>Впишите только первую неделю: все счета, карты и наличные вместе. Дальше остаток переносится сам.</t>
        </is>
      </c>
    </row>
    <row r="11" ht="18" customHeight="1">
      <c r="B11" s="25" t="inlineStr">
        <is>
          <t>ДЕНЬГИ ПРИХОДЯТ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 ht="26" customHeight="1">
      <c r="B12" s="26" t="inlineStr">
        <is>
          <t>Оплаты от клиентов по текущим сделкам</t>
        </is>
      </c>
      <c r="C12" s="14" t="n">
        <v>6000</v>
      </c>
      <c r="D12" s="14" t="n"/>
      <c r="E12" s="14" t="n">
        <v>7000</v>
      </c>
      <c r="F12" s="14" t="n"/>
      <c r="G12" s="14" t="n">
        <v>5000</v>
      </c>
      <c r="H12" s="14" t="n"/>
      <c r="I12" s="14" t="n">
        <v>8000</v>
      </c>
      <c r="J12" s="14" t="n">
        <v>9000</v>
      </c>
      <c r="K12" s="27">
        <f>SUM(C12:J12)</f>
        <v/>
      </c>
      <c r="L12" s="20" t="inlineStr">
        <is>
          <t>Счета, которые уже выставлены, и регулярные клиенты. Ставьте по дате оплаты по договору, а не по дате счета.</t>
        </is>
      </c>
    </row>
    <row r="13" ht="26" customHeight="1">
      <c r="B13" s="26" t="inlineStr">
        <is>
          <t>Погашение долгов клиентов</t>
        </is>
      </c>
      <c r="C13" s="14" t="n"/>
      <c r="D13" s="14" t="n"/>
      <c r="E13" s="14" t="n"/>
      <c r="F13" s="14" t="n">
        <v>2500</v>
      </c>
      <c r="G13" s="14" t="n"/>
      <c r="H13" s="14" t="n"/>
      <c r="I13" s="14" t="n"/>
      <c r="J13" s="14" t="n"/>
      <c r="K13" s="27">
        <f>SUM(C13:J13)</f>
        <v/>
      </c>
      <c r="L13" s="20" t="inlineStr">
        <is>
          <t>Кто должен вам с прошлых месяцев. Ставьте с запасом по времени: просроченный долг почти всегда приходит позже обещанного.</t>
        </is>
      </c>
    </row>
    <row r="14" ht="26" customHeight="1">
      <c r="B14" s="26" t="inlineStr">
        <is>
          <t>Авансы по новым сделкам</t>
        </is>
      </c>
      <c r="C14" s="14" t="n"/>
      <c r="D14" s="14" t="n">
        <v>3000</v>
      </c>
      <c r="E14" s="14" t="n"/>
      <c r="F14" s="14" t="n"/>
      <c r="G14" s="14" t="n"/>
      <c r="H14" s="14" t="n"/>
      <c r="I14" s="14" t="n"/>
      <c r="J14" s="14" t="n"/>
      <c r="K14" s="27">
        <f>SUM(C14:J14)</f>
        <v/>
      </c>
      <c r="L14" s="20" t="inlineStr">
        <is>
          <t>Предоплаты, которые вы ожидаете. Это самая ненадежная строка, ставьте только то, по чему есть договоренность.</t>
        </is>
      </c>
    </row>
    <row r="15" ht="26" customHeight="1">
      <c r="B15" s="26" t="inlineStr">
        <is>
          <t>Прочие поступления</t>
        </is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27">
        <f>SUM(C15:J15)</f>
        <v/>
      </c>
      <c r="L15" s="20" t="inlineStr">
        <is>
          <t>Возвраты от поставщиков, займы, деньги собственника, проценты по депозиту.</t>
        </is>
      </c>
    </row>
    <row r="16" ht="26" customHeight="1">
      <c r="B16" s="28" t="inlineStr">
        <is>
          <t>Свободная строка</t>
        </is>
      </c>
      <c r="C16" s="14" t="n"/>
      <c r="D16" s="14" t="n"/>
      <c r="E16" s="14" t="n"/>
      <c r="F16" s="14" t="n"/>
      <c r="G16" s="14" t="n"/>
      <c r="H16" s="14" t="n"/>
      <c r="I16" s="14" t="n"/>
      <c r="J16" s="14" t="n"/>
      <c r="K16" s="27">
        <f>SUM(C16:J16)</f>
        <v/>
      </c>
      <c r="L16" s="20" t="inlineStr">
        <is>
          <t>Впишите свою статью поступлений.</t>
        </is>
      </c>
    </row>
    <row r="17" ht="26" customHeight="1">
      <c r="B17" s="28" t="inlineStr">
        <is>
          <t>Свободная строка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27">
        <f>SUM(C17:J17)</f>
        <v/>
      </c>
      <c r="L17" s="20" t="inlineStr">
        <is>
          <t>Впишите свою статью поступлений.</t>
        </is>
      </c>
    </row>
    <row r="18" ht="24" customHeight="1">
      <c r="B18" s="21" t="inlineStr">
        <is>
          <t>Итого приход за неделю</t>
        </is>
      </c>
      <c r="C18" s="22">
        <f>SUM(C12:C17)</f>
        <v/>
      </c>
      <c r="D18" s="22">
        <f>SUM(D12:D17)</f>
        <v/>
      </c>
      <c r="E18" s="22">
        <f>SUM(E12:E17)</f>
        <v/>
      </c>
      <c r="F18" s="22">
        <f>SUM(F12:F17)</f>
        <v/>
      </c>
      <c r="G18" s="22">
        <f>SUM(G12:G17)</f>
        <v/>
      </c>
      <c r="H18" s="22">
        <f>SUM(H12:H17)</f>
        <v/>
      </c>
      <c r="I18" s="22">
        <f>SUM(I12:I17)</f>
        <v/>
      </c>
      <c r="J18" s="22">
        <f>SUM(J12:J17)</f>
        <v/>
      </c>
      <c r="K18" s="22">
        <f>SUM(C18:J18)</f>
        <v/>
      </c>
      <c r="L18" s="24" t="inlineStr">
        <is>
          <t>Сумма всех поступлений недели. Считается сама.</t>
        </is>
      </c>
    </row>
    <row r="19" ht="18" customHeight="1">
      <c r="B19" s="25" t="inlineStr">
        <is>
          <t>ДЕНЬГИ УХОДЯТ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 ht="26" customHeight="1">
      <c r="B20" s="26" t="inlineStr">
        <is>
          <t>Поставщики и закупка товара</t>
        </is>
      </c>
      <c r="C20" s="14" t="n">
        <v>4000</v>
      </c>
      <c r="D20" s="14" t="n"/>
      <c r="E20" s="14" t="n"/>
      <c r="F20" s="14" t="n">
        <v>8000</v>
      </c>
      <c r="G20" s="14" t="n"/>
      <c r="H20" s="14" t="n"/>
      <c r="I20" s="14" t="n">
        <v>4000</v>
      </c>
      <c r="J20" s="14" t="n"/>
      <c r="K20" s="27">
        <f>SUM(C20:J20)</f>
        <v/>
      </c>
      <c r="L20" s="20" t="inlineStr">
        <is>
          <t>Оплаты за товар, материалы, сырье. Обычно самая крупная статья: проверьте отсрочки в договорах, там часто есть запас времени.</t>
        </is>
      </c>
    </row>
    <row r="21" ht="26" customHeight="1">
      <c r="B21" s="26" t="inlineStr">
        <is>
          <t>Зарплаты и выплаты команде</t>
        </is>
      </c>
      <c r="C21" s="14" t="n"/>
      <c r="D21" s="14" t="n">
        <v>3500</v>
      </c>
      <c r="E21" s="14" t="n"/>
      <c r="F21" s="14" t="n"/>
      <c r="G21" s="14" t="n"/>
      <c r="H21" s="14" t="n">
        <v>3500</v>
      </c>
      <c r="I21" s="14" t="n"/>
      <c r="J21" s="14" t="n"/>
      <c r="K21" s="27">
        <f>SUM(C21:J21)</f>
        <v/>
      </c>
      <c r="L21" s="20" t="inlineStr">
        <is>
          <t>Оклады, авансы, подрядчики на регулярной оплате. Ставьте по дате выплаты, а не по концу месяца.</t>
        </is>
      </c>
    </row>
    <row r="22" ht="26" customHeight="1">
      <c r="B22" s="26" t="inlineStr">
        <is>
          <t>Налоги и обязательные взносы</t>
        </is>
      </c>
      <c r="C22" s="14" t="n"/>
      <c r="D22" s="14" t="n"/>
      <c r="E22" s="14" t="n"/>
      <c r="F22" s="14" t="n">
        <v>1800</v>
      </c>
      <c r="G22" s="14" t="n"/>
      <c r="H22" s="14" t="n"/>
      <c r="I22" s="14" t="n"/>
      <c r="J22" s="14" t="n"/>
      <c r="K22" s="27">
        <f>SUM(C22:J22)</f>
        <v/>
      </c>
      <c r="L22" s="20" t="inlineStr">
        <is>
          <t>Налоги, взносы за себя и сотрудников. Дата известна заранее, это единственная статья, которую невозможно подвинуть.</t>
        </is>
      </c>
    </row>
    <row r="23" ht="26" customHeight="1">
      <c r="B23" s="26" t="inlineStr">
        <is>
          <t>Аренда и коммунальные</t>
        </is>
      </c>
      <c r="C23" s="14" t="n">
        <v>1200</v>
      </c>
      <c r="D23" s="14" t="n"/>
      <c r="E23" s="14" t="n"/>
      <c r="F23" s="14" t="n"/>
      <c r="G23" s="14" t="n">
        <v>1200</v>
      </c>
      <c r="H23" s="14" t="n"/>
      <c r="I23" s="14" t="n"/>
      <c r="J23" s="14" t="n"/>
      <c r="K23" s="27">
        <f>SUM(C23:J23)</f>
        <v/>
      </c>
      <c r="L23" s="20" t="inlineStr">
        <is>
          <t>Помещение, склад, офис, свет, вода, интернет.</t>
        </is>
      </c>
    </row>
    <row r="24" ht="26" customHeight="1">
      <c r="B24" s="26" t="inlineStr">
        <is>
          <t>Реклама и маркетинг</t>
        </is>
      </c>
      <c r="C24" s="14" t="n">
        <v>800</v>
      </c>
      <c r="D24" s="14" t="n"/>
      <c r="E24" s="14" t="n">
        <v>800</v>
      </c>
      <c r="F24" s="14" t="n"/>
      <c r="G24" s="14" t="n">
        <v>800</v>
      </c>
      <c r="H24" s="14" t="n"/>
      <c r="I24" s="14" t="n">
        <v>800</v>
      </c>
      <c r="J24" s="14" t="n"/>
      <c r="K24" s="27">
        <f>SUM(C24:J24)</f>
        <v/>
      </c>
      <c r="L24" s="20" t="inlineStr">
        <is>
          <t>Бюджет на рекламу, подрядчики по маркетингу. Первая статья, которую двигают при нехватке денег, и первая, из-за которой падают продажи через месяц.</t>
        </is>
      </c>
    </row>
    <row r="25" ht="26" customHeight="1">
      <c r="B25" s="26" t="inlineStr">
        <is>
          <t>Подписки, связь, банк, сервисы</t>
        </is>
      </c>
      <c r="C25" s="14" t="n"/>
      <c r="D25" s="14" t="n">
        <v>350</v>
      </c>
      <c r="E25" s="14" t="n"/>
      <c r="F25" s="14" t="n"/>
      <c r="G25" s="14" t="n"/>
      <c r="H25" s="14" t="n">
        <v>350</v>
      </c>
      <c r="I25" s="14" t="n"/>
      <c r="J25" s="14" t="n"/>
      <c r="K25" s="27">
        <f>SUM(C25:J25)</f>
        <v/>
      </c>
      <c r="L25" s="20" t="inlineStr">
        <is>
          <t>Мелкие регулярные списания. По отдельности незаметны, вместе дают заметную сумму.</t>
        </is>
      </c>
    </row>
    <row r="26" ht="26" customHeight="1">
      <c r="B26" s="26" t="inlineStr">
        <is>
          <t>Кредиты и лизинг</t>
        </is>
      </c>
      <c r="C26" s="14" t="n"/>
      <c r="D26" s="14" t="n"/>
      <c r="E26" s="14" t="n">
        <v>900</v>
      </c>
      <c r="F26" s="14" t="n"/>
      <c r="G26" s="14" t="n"/>
      <c r="H26" s="14" t="n"/>
      <c r="I26" s="14" t="n">
        <v>900</v>
      </c>
      <c r="J26" s="14" t="n"/>
      <c r="K26" s="27">
        <f>SUM(C26:J26)</f>
        <v/>
      </c>
      <c r="L26" s="20" t="inlineStr">
        <is>
          <t>Платеж по графику: тело плюс проценты. Пропуск такого платежа стоит дороже всех остальных.</t>
        </is>
      </c>
    </row>
    <row r="27" ht="26" customHeight="1">
      <c r="B27" s="26" t="inlineStr">
        <is>
          <t>Подрядчики и разовые услуги</t>
        </is>
      </c>
      <c r="C27" s="14" t="n"/>
      <c r="D27" s="14" t="n"/>
      <c r="E27" s="14" t="n"/>
      <c r="F27" s="14" t="n"/>
      <c r="G27" s="14" t="n">
        <v>600</v>
      </c>
      <c r="H27" s="14" t="n"/>
      <c r="I27" s="14" t="n"/>
      <c r="J27" s="14" t="n"/>
      <c r="K27" s="27">
        <f>SUM(C27:J27)</f>
        <v/>
      </c>
      <c r="L27" s="20" t="inlineStr">
        <is>
          <t>Бухгалтер, юрист, ремонт, доставка, разовые работы.</t>
        </is>
      </c>
    </row>
    <row r="28" ht="26" customHeight="1">
      <c r="B28" s="26" t="inlineStr">
        <is>
          <t>Ваш вывод денег</t>
        </is>
      </c>
      <c r="C28" s="14" t="n"/>
      <c r="D28" s="14" t="n">
        <v>1500</v>
      </c>
      <c r="E28" s="14" t="n"/>
      <c r="F28" s="14" t="n"/>
      <c r="G28" s="14" t="n"/>
      <c r="H28" s="14" t="n">
        <v>1500</v>
      </c>
      <c r="I28" s="14" t="n"/>
      <c r="J28" s="14" t="n"/>
      <c r="K28" s="27">
        <f>SUM(C28:J28)</f>
        <v/>
      </c>
      <c r="L28" s="20" t="inlineStr">
        <is>
          <t>Сколько вы забираете себе. Ставьте честно: если не планировать эту строку, она все равно случится, но неожиданно для календаря.</t>
        </is>
      </c>
    </row>
    <row r="29" ht="26" customHeight="1">
      <c r="B29" s="28" t="inlineStr">
        <is>
          <t>Свободная строка</t>
        </is>
      </c>
      <c r="C29" s="14" t="n"/>
      <c r="D29" s="14" t="n"/>
      <c r="E29" s="14" t="n"/>
      <c r="F29" s="14" t="n"/>
      <c r="G29" s="14" t="n"/>
      <c r="H29" s="14" t="n"/>
      <c r="I29" s="14" t="n"/>
      <c r="J29" s="14" t="n"/>
      <c r="K29" s="27">
        <f>SUM(C29:J29)</f>
        <v/>
      </c>
      <c r="L29" s="20" t="inlineStr">
        <is>
          <t>Впишите свою статью платежей.</t>
        </is>
      </c>
    </row>
    <row r="30" ht="26" customHeight="1">
      <c r="B30" s="28" t="inlineStr">
        <is>
          <t>Свободная строка</t>
        </is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27">
        <f>SUM(C30:J30)</f>
        <v/>
      </c>
      <c r="L30" s="20" t="inlineStr">
        <is>
          <t>Впишите свою статью платежей.</t>
        </is>
      </c>
    </row>
    <row r="31" ht="26" customHeight="1">
      <c r="B31" s="28" t="inlineStr">
        <is>
          <t>Свободная строка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27">
        <f>SUM(C31:J31)</f>
        <v/>
      </c>
      <c r="L31" s="20" t="inlineStr">
        <is>
          <t>Впишите свою статью платежей.</t>
        </is>
      </c>
    </row>
    <row r="32" ht="24" customHeight="1">
      <c r="B32" s="21" t="inlineStr">
        <is>
          <t>Итого расход за неделю</t>
        </is>
      </c>
      <c r="C32" s="22">
        <f>SUM(C20:C31)</f>
        <v/>
      </c>
      <c r="D32" s="22">
        <f>SUM(D20:D31)</f>
        <v/>
      </c>
      <c r="E32" s="22">
        <f>SUM(E20:E31)</f>
        <v/>
      </c>
      <c r="F32" s="22">
        <f>SUM(F20:F31)</f>
        <v/>
      </c>
      <c r="G32" s="22">
        <f>SUM(G20:G31)</f>
        <v/>
      </c>
      <c r="H32" s="22">
        <f>SUM(H20:H31)</f>
        <v/>
      </c>
      <c r="I32" s="22">
        <f>SUM(I20:I31)</f>
        <v/>
      </c>
      <c r="J32" s="22">
        <f>SUM(J20:J31)</f>
        <v/>
      </c>
      <c r="K32" s="22">
        <f>SUM(C32:J32)</f>
        <v/>
      </c>
      <c r="L32" s="24" t="inlineStr">
        <is>
          <t>Сумма всех платежей недели. Считается сама.</t>
        </is>
      </c>
    </row>
    <row r="33" ht="18" customHeight="1">
      <c r="B33" s="25" t="inlineStr">
        <is>
          <t>ЧТО ПОЛУЧАЕТСЯ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 ht="24" customHeight="1">
      <c r="B34" s="21" t="inlineStr">
        <is>
          <t>Движение за неделю</t>
        </is>
      </c>
      <c r="C34" s="22">
        <f>C18-C32</f>
        <v/>
      </c>
      <c r="D34" s="22">
        <f>D18-D32</f>
        <v/>
      </c>
      <c r="E34" s="22">
        <f>E18-E32</f>
        <v/>
      </c>
      <c r="F34" s="22">
        <f>F18-F32</f>
        <v/>
      </c>
      <c r="G34" s="22">
        <f>G18-G32</f>
        <v/>
      </c>
      <c r="H34" s="22">
        <f>H18-H32</f>
        <v/>
      </c>
      <c r="I34" s="22">
        <f>I18-I32</f>
        <v/>
      </c>
      <c r="J34" s="22">
        <f>J18-J32</f>
        <v/>
      </c>
      <c r="K34" s="23" t="n"/>
      <c r="L34" s="24" t="inlineStr">
        <is>
          <t>Приход минус расход. Минус здесь это не беда: беда, когда минус съедает остаток.</t>
        </is>
      </c>
    </row>
    <row r="35" ht="24" customHeight="1">
      <c r="B35" s="29" t="inlineStr">
        <is>
          <t>Остаток на конец недели</t>
        </is>
      </c>
      <c r="C35" s="30">
        <f>C10+C34</f>
        <v/>
      </c>
      <c r="D35" s="30">
        <f>D10+D34</f>
        <v/>
      </c>
      <c r="E35" s="30">
        <f>E10+E34</f>
        <v/>
      </c>
      <c r="F35" s="30">
        <f>F10+F34</f>
        <v/>
      </c>
      <c r="G35" s="30">
        <f>G10+G34</f>
        <v/>
      </c>
      <c r="H35" s="30">
        <f>H10+H34</f>
        <v/>
      </c>
      <c r="I35" s="30">
        <f>I10+I34</f>
        <v/>
      </c>
      <c r="J35" s="30">
        <f>J10+J34</f>
        <v/>
      </c>
      <c r="K35" s="23" t="n"/>
      <c r="L35" s="24" t="inlineStr">
        <is>
          <t>Сколько денег останется к концу недели. Главная строка всего файла.</t>
        </is>
      </c>
    </row>
    <row r="36" ht="30" customHeight="1">
      <c r="B36" s="21" t="inlineStr">
        <is>
          <t>Светофор</t>
        </is>
      </c>
      <c r="C36" s="31">
        <f>IF(C35&lt;0,"РАЗРЫВ",IF(C35&lt;$C$6,"ВПРИТЫК","ЗАПАС"))</f>
        <v/>
      </c>
      <c r="D36" s="31">
        <f>IF(D35&lt;0,"РАЗРЫВ",IF(D35&lt;$C$6,"ВПРИТЫК","ЗАПАС"))</f>
        <v/>
      </c>
      <c r="E36" s="31">
        <f>IF(E35&lt;0,"РАЗРЫВ",IF(E35&lt;$C$6,"ВПРИТЫК","ЗАПАС"))</f>
        <v/>
      </c>
      <c r="F36" s="31">
        <f>IF(F35&lt;0,"РАЗРЫВ",IF(F35&lt;$C$6,"ВПРИТЫК","ЗАПАС"))</f>
        <v/>
      </c>
      <c r="G36" s="31">
        <f>IF(G35&lt;0,"РАЗРЫВ",IF(G35&lt;$C$6,"ВПРИТЫК","ЗАПАС"))</f>
        <v/>
      </c>
      <c r="H36" s="31">
        <f>IF(H35&lt;0,"РАЗРЫВ",IF(H35&lt;$C$6,"ВПРИТЫК","ЗАПАС"))</f>
        <v/>
      </c>
      <c r="I36" s="31">
        <f>IF(I35&lt;0,"РАЗРЫВ",IF(I35&lt;$C$6,"ВПРИТЫК","ЗАПАС"))</f>
        <v/>
      </c>
      <c r="J36" s="31">
        <f>IF(J35&lt;0,"РАЗРЫВ",IF(J35&lt;$C$6,"ВПРИТЫК","ЗАПАС"))</f>
        <v/>
      </c>
      <c r="K36" s="23" t="n"/>
      <c r="L36" s="24" t="inlineStr">
        <is>
          <t>РАЗРЫВ значит денег не хватит. ВПРИТЫК значит остаток ниже вашего минимального запаса: любая задержка оплаты выносит вас в минус. Считается само.</t>
        </is>
      </c>
    </row>
    <row r="38" ht="24" customHeight="1">
      <c r="B38" s="32" t="inlineStr">
        <is>
          <t>Итог по двум месяцам</t>
        </is>
      </c>
    </row>
    <row r="39" ht="26" customHeight="1">
      <c r="B39" s="11" t="inlineStr">
        <is>
          <t>Самый низкий остаток за 8 недель</t>
        </is>
      </c>
      <c r="C39" s="22">
        <f>MIN(C35:J35)</f>
        <v/>
      </c>
      <c r="D39" s="20" t="inlineStr">
        <is>
          <t>Худшая точка вашего горизонта. Если она ниже нуля, разрыв уже виден в цифрах.</t>
        </is>
      </c>
      <c r="E39" s="19" t="n"/>
      <c r="F39" s="19" t="n"/>
      <c r="G39" s="19" t="n"/>
      <c r="H39" s="19" t="n"/>
      <c r="I39" s="19" t="n"/>
      <c r="J39" s="19" t="n"/>
      <c r="K39" s="19" t="n"/>
      <c r="L39" s="19" t="n"/>
    </row>
    <row r="40" ht="26" customHeight="1">
      <c r="B40" s="11" t="inlineStr">
        <is>
          <t>Недель в минусе</t>
        </is>
      </c>
      <c r="C40" s="33">
        <f>COUNTIF(C35:J35,"&lt;0")</f>
        <v/>
      </c>
      <c r="D40" s="20" t="inlineStr">
        <is>
          <t>Сколько недель из восьми вы уходите в минус.</t>
        </is>
      </c>
      <c r="E40" s="19" t="n"/>
      <c r="F40" s="19" t="n"/>
      <c r="G40" s="19" t="n"/>
      <c r="H40" s="19" t="n"/>
      <c r="I40" s="19" t="n"/>
      <c r="J40" s="19" t="n"/>
      <c r="K40" s="19" t="n"/>
      <c r="L40" s="19" t="n"/>
    </row>
    <row r="41" ht="26" customHeight="1">
      <c r="B41" s="11" t="inlineStr">
        <is>
          <t>Недель ниже минимального запаса</t>
        </is>
      </c>
      <c r="C41" s="33">
        <f>COUNTIF(C35:J35,"&lt;"&amp;$C$6)</f>
        <v/>
      </c>
      <c r="D41" s="20" t="inlineStr">
        <is>
          <t>Недели, когда денег формально хватает, но любая задержка оплаты ломает месяц.</t>
        </is>
      </c>
      <c r="E41" s="19" t="n"/>
      <c r="F41" s="19" t="n"/>
      <c r="G41" s="19" t="n"/>
      <c r="H41" s="19" t="n"/>
      <c r="I41" s="19" t="n"/>
      <c r="J41" s="19" t="n"/>
      <c r="K41" s="19" t="n"/>
      <c r="L41" s="19" t="n"/>
    </row>
    <row r="42" ht="26" customHeight="1">
      <c r="B42" s="11" t="inlineStr">
        <is>
          <t>Приход минус расход за 8 недель</t>
        </is>
      </c>
      <c r="C42" s="22">
        <f>K18-K32</f>
        <v/>
      </c>
      <c r="D42" s="20" t="inlineStr">
        <is>
          <t>Если эта цифра отрицательная, вы проедаете накопленное. Календарь тут не поможет, вопрос уже к прибыли: посчитайте ее в калькуляторе чистой прибыли.</t>
        </is>
      </c>
      <c r="E42" s="19" t="n"/>
      <c r="F42" s="19" t="n"/>
      <c r="G42" s="19" t="n"/>
      <c r="H42" s="19" t="n"/>
      <c r="I42" s="19" t="n"/>
      <c r="J42" s="19" t="n"/>
      <c r="K42" s="19" t="n"/>
      <c r="L42" s="19" t="n"/>
    </row>
    <row r="44">
      <c r="B44" s="7" t="inlineStr">
        <is>
          <t>Увидели красную или желтую неделю. Это хорошая новость: вы увидели ее заранее, а не в день, когда нечем платить. Откройте лист «Если видите разрыв», там собрано, что можно подвинуть и в каком порядке.
Хотите, чтобы календарь проверил человек: пришлите файл по ссылке ниже. Финансовый менеджер Founder Finance посмотрит, не идет ли ваш бизнес к разрыву, какие статьи вы забыли учесть и что подвинуть, чтобы разрыва не случилось. Бесплатно.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</row>
    <row r="46"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</row>
    <row r="48" ht="28" customHeight="1">
      <c r="B48" s="34" t="inlineStr">
        <is>
          <t>Отправить свой календарь на проверку  →  жмите сюда</t>
        </is>
      </c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</row>
  </sheetData>
  <mergeCells count="14">
    <mergeCell ref="B44:L47"/>
    <mergeCell ref="D5:L5"/>
    <mergeCell ref="B38:L38"/>
    <mergeCell ref="D42:L42"/>
    <mergeCell ref="B48:L48"/>
    <mergeCell ref="B33:L33"/>
    <mergeCell ref="B11:L11"/>
    <mergeCell ref="B3:L3"/>
    <mergeCell ref="B2:L2"/>
    <mergeCell ref="B19:L19"/>
    <mergeCell ref="D40:L40"/>
    <mergeCell ref="D41:L41"/>
    <mergeCell ref="D39:L39"/>
    <mergeCell ref="D6:L6"/>
  </mergeCells>
  <conditionalFormatting sqref="C36:J36">
    <cfRule type="cellIs" priority="1" operator="equal" dxfId="0">
      <formula>"РАЗРЫВ"</formula>
    </cfRule>
    <cfRule type="cellIs" priority="2" operator="equal" dxfId="1">
      <formula>"ВПРИТЫК"</formula>
    </cfRule>
    <cfRule type="cellIs" priority="3" operator="equal" dxfId="2">
      <formula>"ЗАПАС"</formula>
    </cfRule>
  </conditionalFormatting>
  <conditionalFormatting sqref="C35:J35">
    <cfRule type="cellIs" priority="4" operator="lessThan" dxfId="0">
      <formula>0</formula>
    </cfRule>
    <cfRule type="cellIs" priority="5" operator="lessThan" dxfId="1">
      <formula>$C$6</formula>
    </cfRule>
  </conditionalFormatting>
  <hyperlinks>
    <hyperlink xmlns:r="http://schemas.openxmlformats.org/officeDocument/2006/relationships" ref="B48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0" customWidth="1" min="3" max="3"/>
  </cols>
  <sheetData>
    <row r="2" ht="30" customHeight="1">
      <c r="B2" s="1" t="inlineStr">
        <is>
          <t>Если видите разрыв</t>
        </is>
      </c>
    </row>
    <row r="3">
      <c r="B3" s="2" t="inlineStr">
        <is>
          <t>Что делать по порядку, от самого дешевого к самому дорогому</t>
        </is>
      </c>
    </row>
    <row r="5" ht="24" customHeight="1">
      <c r="B5" s="32" t="inlineStr">
        <is>
          <t>Сначала поймите, какой у вас разрыв</t>
        </is>
      </c>
    </row>
    <row r="6" ht="42" customHeight="1">
      <c r="B6" s="36" t="inlineStr">
        <is>
          <t>Временный</t>
        </is>
      </c>
      <c r="C6" s="4" t="inlineStr">
        <is>
          <t>Денег за два месяца приходит больше, чем уходит, но в отдельную неделю они не совпадают по датам. Это вопрос сдвига платежей, лечится календарем.</t>
        </is>
      </c>
    </row>
    <row r="7" ht="52" customHeight="1">
      <c r="B7" s="36" t="inlineStr">
        <is>
          <t>Постоянный</t>
        </is>
      </c>
      <c r="C7" s="4" t="inlineStr">
        <is>
          <t>Строка «приход минус расход за 8 недель» отрицательная. Двигать платежи бесполезно, дыра будет открываться снова. Проблема в прибыли или в модели, а не в датах. Считайте прибыль по месяцам и ищите, где она теряется.</t>
        </is>
      </c>
    </row>
    <row r="9" ht="24" customHeight="1">
      <c r="B9" s="32" t="inlineStr">
        <is>
          <t>Шаг 1. Работа с самим календарем</t>
        </is>
      </c>
    </row>
    <row r="10" ht="52" customHeight="1">
      <c r="B10" s="36" t="inlineStr">
        <is>
          <t>Двигайте несрочное</t>
        </is>
      </c>
      <c r="C10" s="4" t="inlineStr">
        <is>
          <t>Разложите платежи проблемной недели на два списка: без чего бизнес встанет (зарплаты, налоги, критичный поставщик, кредит) и все остальное. Второе двигайте на неделю после ближайшего крупного прихода.</t>
        </is>
      </c>
    </row>
    <row r="11" ht="42" customHeight="1">
      <c r="B11" s="36" t="inlineStr">
        <is>
          <t>Не двигайте эти три</t>
        </is>
      </c>
      <c r="C11" s="4" t="inlineStr">
        <is>
          <t>Налоги, кредит и зарплату. Просрочка по ним стоит дороже, чем любая договоренность с поставщиком, и бьет по тому, что не восстанавливается: по людям и по кредитной истории.</t>
        </is>
      </c>
    </row>
    <row r="12" ht="28" customHeight="1">
      <c r="B12" s="36" t="inlineStr">
        <is>
          <t>Обновляйте чаще</t>
        </is>
      </c>
      <c r="C12" s="4" t="inlineStr">
        <is>
          <t>Пока ситуация острая, смотрите календарь каждый день. Спокойный режим это раз в неделю.</t>
        </is>
      </c>
    </row>
    <row r="14" ht="24" customHeight="1">
      <c r="B14" s="32" t="inlineStr">
        <is>
          <t>Шаг 2. Работа с деньгами клиентов</t>
        </is>
      </c>
    </row>
    <row r="15" ht="42" customHeight="1">
      <c r="B15" s="36" t="inlineStr">
        <is>
          <t>Соберите долги</t>
        </is>
      </c>
      <c r="C15" s="4" t="inlineStr">
        <is>
          <t>Выпишите, кто вам должен, сколько и с какого числа просрочено. Часто внутри этого списка лежит вся недостающая сумма. Позвоните лично, письмо игнорируют.</t>
        </is>
      </c>
    </row>
    <row r="16" ht="42" customHeight="1">
      <c r="B16" s="36" t="inlineStr">
        <is>
          <t>Попросите заплатить раньше</t>
        </is>
      </c>
      <c r="C16" s="4" t="inlineStr">
        <is>
          <t>Постоянному клиенту можно предложить оплатить на несколько дней раньше срока. Это дешевле любого кредита и почти всегда работает, если отношения нормальные.</t>
        </is>
      </c>
    </row>
    <row r="17" ht="42" customHeight="1">
      <c r="B17" s="36" t="inlineStr">
        <is>
          <t>Проверьте свои отсрочки</t>
        </is>
      </c>
      <c r="C17" s="4" t="inlineStr">
        <is>
          <t>Посмотрите, какие отсрочки и скидки раздают ваши менеджеры. Часто разрыв создан не рынком, а тем, что продавцу проще дать отсрочку, чем дожать оплату.</t>
        </is>
      </c>
    </row>
    <row r="18" ht="42" customHeight="1">
      <c r="B18" s="36" t="inlineStr">
        <is>
          <t>Ускорьте деньги</t>
        </is>
      </c>
      <c r="C18" s="4" t="inlineStr">
        <is>
          <t>Сократите срок действия счета, поднимите размер предоплаты по новым сделкам, остановите отгрузки тем, кто уже висит в просрочке.</t>
        </is>
      </c>
    </row>
    <row r="20" ht="24" customHeight="1">
      <c r="B20" s="32" t="inlineStr">
        <is>
          <t>Шаг 3. Работа с поставщиками</t>
        </is>
      </c>
    </row>
    <row r="21" ht="42" customHeight="1">
      <c r="B21" s="36" t="inlineStr">
        <is>
          <t>Попросите отсрочку</t>
        </is>
      </c>
      <c r="C21" s="4" t="inlineStr">
        <is>
          <t>Прямо и заранее, с конкретной датой оплаты. Поставщик почти всегда предпочтет подвинуть срок, чем потерять клиента. Молчание и просрочка без предупреждения работают против вас.</t>
        </is>
      </c>
    </row>
    <row r="22" ht="42" customHeight="1">
      <c r="B22" s="36" t="inlineStr">
        <is>
          <t>Закупайте мельче и чаще</t>
        </is>
      </c>
      <c r="C22" s="4" t="inlineStr">
        <is>
          <t>Крупная партия замораживает деньги на недели. Несколько мелких закупок дают время, хотя цена за единицу будет чуть выше. В разрыве время дороже скидки.</t>
        </is>
      </c>
    </row>
    <row r="23" ht="28" customHeight="1">
      <c r="B23" s="36" t="inlineStr">
        <is>
          <t>Поднимите договоры</t>
        </is>
      </c>
      <c r="C23" s="4" t="inlineStr">
        <is>
          <t>Часто отсрочка уже прописана, но никто ей не пользуется и платят сразу по счету.</t>
        </is>
      </c>
    </row>
    <row r="25" ht="24" customHeight="1">
      <c r="B25" s="32" t="inlineStr">
        <is>
          <t>Шаг 4. Заемные деньги, только после первых трех</t>
        </is>
      </c>
    </row>
    <row r="26" ht="42" customHeight="1">
      <c r="B26" s="36" t="inlineStr">
        <is>
          <t>Овердрафт или кредитная линия</t>
        </is>
      </c>
      <c r="C26" s="4" t="inlineStr">
        <is>
          <t>Открывать имеет смысл заранее, когда деньги есть. Когда их уже нет, условия хуже, а решение идет дольше, чем у вас времени.</t>
        </is>
      </c>
    </row>
    <row r="27" ht="42" customHeight="1">
      <c r="B27" s="36" t="inlineStr">
        <is>
          <t>Заем у собственника или партнера</t>
        </is>
      </c>
      <c r="C27" s="4" t="inlineStr">
        <is>
          <t>Самый быстрый вариант на несколько дней. Обязательно фиксируйте письменно и проводите как заем, а не как выручку, иначе прибыль в отчете будет неправдой.</t>
        </is>
      </c>
    </row>
    <row r="29" ht="24" customHeight="1">
      <c r="B29" s="32" t="inlineStr">
        <is>
          <t>И главное</t>
        </is>
      </c>
    </row>
    <row r="30" ht="52" customHeight="1">
      <c r="B30" s="36" t="inlineStr">
        <is>
          <t>Дисциплина платежей</t>
        </is>
      </c>
      <c r="C30" s="4" t="inlineStr">
        <is>
          <t>Календарь работает только если платежи идут по плану. Если в компании любой может оплатить что угодно в любой день, календарь превращается в красивую таблицу. Назначьте одного человека, который ведет календарь и утверждает платежи, даже если этот человек вы.</t>
        </is>
      </c>
    </row>
    <row r="32">
      <c r="B32" s="7" t="inlineStr">
        <is>
          <t>Проверка вашего календаря
Пришлите заполненный файл нам в телеграм. Финансовый менеджер Founder Finance посмотрит и ответит письменно: идет ли ваш бизнес к разрыву в ближайшие недели, какие статьи вы забыли учесть, что можно подвинуть и в каком порядке. Бесплатно, без презентации в конце.</t>
        </is>
      </c>
      <c r="C32" s="8" t="n"/>
    </row>
    <row r="33">
      <c r="B33" s="8" t="n"/>
      <c r="C33" s="8" t="n"/>
    </row>
    <row r="34">
      <c r="B34" s="8" t="n"/>
      <c r="C34" s="8" t="n"/>
    </row>
    <row r="35">
      <c r="B35" s="8" t="n"/>
      <c r="C35" s="8" t="n"/>
    </row>
    <row r="36">
      <c r="B36" s="8" t="n"/>
      <c r="C36" s="8" t="n"/>
    </row>
    <row r="37" ht="28" customHeight="1">
      <c r="B37" s="34" t="inlineStr">
        <is>
          <t>Отправить свой календарь на проверку  →  жмите сюда</t>
        </is>
      </c>
      <c r="C37" s="35" t="n"/>
    </row>
    <row r="39" ht="28" customHeight="1">
      <c r="B39" s="37" t="inlineStr">
        <is>
          <t>Founder Finance · управленческий учет на русском для бизнеса в Европе и США. 7+ лет практики в управленческом учете. Оплата в евро на европейский счет.</t>
        </is>
      </c>
    </row>
  </sheetData>
  <mergeCells count="11">
    <mergeCell ref="B39:C39"/>
    <mergeCell ref="B2:C2"/>
    <mergeCell ref="B29:C29"/>
    <mergeCell ref="B25:C25"/>
    <mergeCell ref="B32:C36"/>
    <mergeCell ref="B3:C3"/>
    <mergeCell ref="B5:C5"/>
    <mergeCell ref="B20:C20"/>
    <mergeCell ref="B37:C37"/>
    <mergeCell ref="B14:C14"/>
    <mergeCell ref="B9:C9"/>
  </mergeCells>
  <hyperlinks>
    <hyperlink xmlns:r="http://schemas.openxmlformats.org/officeDocument/2006/relationships" ref="B3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2026-08-06T07:59:46Z</dcterms:created>
  <dcterms:modified xsi:type="dcterms:W3CDTF">2026-08-06T07:59:47Z</dcterms:modified>
</cp:coreProperties>
</file>